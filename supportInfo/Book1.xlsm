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430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PedroCR\Dropbox (MagentaKoncept)\PedroCR\PycharmProjects\lifeActuary\supportInfo\"/>
    </mc:Choice>
  </mc:AlternateContent>
  <xr:revisionPtr revIDLastSave="0" documentId="13_ncr:1_{6577AEE2-3EF8-4689-9949-51FFD22C50BB}" xr6:coauthVersionLast="45" xr6:coauthVersionMax="45" xr10:uidLastSave="{00000000-0000-0000-0000-000000000000}"/>
  <bookViews>
    <workbookView xWindow="-93" yWindow="-93" windowWidth="21520" windowHeight="11733" xr2:uid="{60AC3424-5ADC-467B-ACA7-E023D581E0F1}"/>
  </bookViews>
  <sheets>
    <sheet name="TV7377Var" sheetId="1" r:id="rId1"/>
  </sheets>
  <externalReferences>
    <externalReference r:id="rId2"/>
    <externalReference r:id="rId3"/>
    <externalReference r:id="rId4"/>
  </externalReferences>
  <definedNames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  <definedName name="TCS">#REF!</definedName>
    <definedName name="theta">'[3]simbolos comutação'!$G$1</definedName>
    <definedName name="v">'[3]simbolos comutação'!$B$2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Q57" i="1" l="1"/>
  <c r="Q58" i="1" s="1"/>
  <c r="Q56" i="1"/>
  <c r="T55" i="1"/>
  <c r="T62" i="1"/>
  <c r="T63" i="1"/>
  <c r="T64" i="1"/>
  <c r="T65" i="1"/>
  <c r="T66" i="1"/>
  <c r="T67" i="1"/>
  <c r="T68" i="1"/>
  <c r="T69" i="1"/>
  <c r="T70" i="1"/>
  <c r="T71" i="1"/>
  <c r="T72" i="1"/>
  <c r="T73" i="1"/>
  <c r="T74" i="1"/>
  <c r="T75" i="1"/>
  <c r="T76" i="1"/>
  <c r="T77" i="1"/>
  <c r="T78" i="1"/>
  <c r="T79" i="1"/>
  <c r="T80" i="1"/>
  <c r="T81" i="1"/>
  <c r="T82" i="1"/>
  <c r="T83" i="1"/>
  <c r="T84" i="1"/>
  <c r="T85" i="1"/>
  <c r="T86" i="1"/>
  <c r="T87" i="1"/>
  <c r="T88" i="1"/>
  <c r="T89" i="1"/>
  <c r="T90" i="1"/>
  <c r="T91" i="1"/>
  <c r="T92" i="1"/>
  <c r="T93" i="1"/>
  <c r="T94" i="1"/>
  <c r="T95" i="1"/>
  <c r="T96" i="1"/>
  <c r="T97" i="1"/>
  <c r="T98" i="1"/>
  <c r="T99" i="1"/>
  <c r="T100" i="1"/>
  <c r="T101" i="1"/>
  <c r="T102" i="1"/>
  <c r="T103" i="1"/>
  <c r="T104" i="1"/>
  <c r="T105" i="1"/>
  <c r="T106" i="1"/>
  <c r="T107" i="1"/>
  <c r="T108" i="1"/>
  <c r="T109" i="1"/>
  <c r="T110" i="1"/>
  <c r="T111" i="1"/>
  <c r="T112" i="1"/>
  <c r="T113" i="1"/>
  <c r="T114" i="1"/>
  <c r="T115" i="1"/>
  <c r="T116" i="1"/>
  <c r="T61" i="1"/>
  <c r="S62" i="1"/>
  <c r="S63" i="1"/>
  <c r="S64" i="1"/>
  <c r="S65" i="1"/>
  <c r="S66" i="1"/>
  <c r="S67" i="1"/>
  <c r="S68" i="1"/>
  <c r="S69" i="1"/>
  <c r="S70" i="1"/>
  <c r="S71" i="1"/>
  <c r="S72" i="1"/>
  <c r="S73" i="1"/>
  <c r="S74" i="1"/>
  <c r="S75" i="1"/>
  <c r="S76" i="1"/>
  <c r="S77" i="1"/>
  <c r="S78" i="1"/>
  <c r="S79" i="1"/>
  <c r="S80" i="1"/>
  <c r="S81" i="1"/>
  <c r="S82" i="1"/>
  <c r="S83" i="1"/>
  <c r="S84" i="1"/>
  <c r="S85" i="1"/>
  <c r="S86" i="1"/>
  <c r="S87" i="1"/>
  <c r="S88" i="1"/>
  <c r="S89" i="1"/>
  <c r="S90" i="1"/>
  <c r="S91" i="1"/>
  <c r="S92" i="1"/>
  <c r="S93" i="1"/>
  <c r="S94" i="1"/>
  <c r="S95" i="1"/>
  <c r="S96" i="1"/>
  <c r="S97" i="1"/>
  <c r="S98" i="1"/>
  <c r="S99" i="1"/>
  <c r="S100" i="1"/>
  <c r="S101" i="1"/>
  <c r="S102" i="1"/>
  <c r="S103" i="1"/>
  <c r="S104" i="1"/>
  <c r="S105" i="1"/>
  <c r="S106" i="1"/>
  <c r="S107" i="1"/>
  <c r="S108" i="1"/>
  <c r="S109" i="1"/>
  <c r="S110" i="1"/>
  <c r="S111" i="1"/>
  <c r="S112" i="1"/>
  <c r="S113" i="1"/>
  <c r="S114" i="1"/>
  <c r="S115" i="1"/>
  <c r="S116" i="1"/>
  <c r="S61" i="1"/>
  <c r="R116" i="1"/>
  <c r="R115" i="1"/>
  <c r="R114" i="1"/>
  <c r="R113" i="1"/>
  <c r="R112" i="1"/>
  <c r="R111" i="1"/>
  <c r="R110" i="1"/>
  <c r="R109" i="1"/>
  <c r="R108" i="1"/>
  <c r="R107" i="1"/>
  <c r="R106" i="1"/>
  <c r="R105" i="1"/>
  <c r="R104" i="1"/>
  <c r="R103" i="1"/>
  <c r="R102" i="1"/>
  <c r="R101" i="1"/>
  <c r="R100" i="1"/>
  <c r="R99" i="1"/>
  <c r="R98" i="1"/>
  <c r="R97" i="1"/>
  <c r="R96" i="1"/>
  <c r="R95" i="1"/>
  <c r="R94" i="1"/>
  <c r="R93" i="1"/>
  <c r="R92" i="1"/>
  <c r="R91" i="1"/>
  <c r="R90" i="1"/>
  <c r="R89" i="1"/>
  <c r="R88" i="1"/>
  <c r="R87" i="1"/>
  <c r="R86" i="1"/>
  <c r="R85" i="1"/>
  <c r="R84" i="1"/>
  <c r="R83" i="1"/>
  <c r="R82" i="1"/>
  <c r="R81" i="1"/>
  <c r="R80" i="1"/>
  <c r="R79" i="1"/>
  <c r="R78" i="1"/>
  <c r="R77" i="1"/>
  <c r="R76" i="1"/>
  <c r="R75" i="1"/>
  <c r="R74" i="1"/>
  <c r="R73" i="1"/>
  <c r="R72" i="1"/>
  <c r="R71" i="1"/>
  <c r="R70" i="1"/>
  <c r="R69" i="1"/>
  <c r="R68" i="1"/>
  <c r="R67" i="1"/>
  <c r="R66" i="1"/>
  <c r="R65" i="1"/>
  <c r="R64" i="1"/>
  <c r="R63" i="1"/>
  <c r="R62" i="1"/>
  <c r="R61" i="1"/>
  <c r="Q55" i="1"/>
  <c r="L150" i="1"/>
  <c r="AB150" i="1" s="1"/>
  <c r="I150" i="1"/>
  <c r="J150" i="1" s="1"/>
  <c r="L149" i="1"/>
  <c r="AB149" i="1" s="1"/>
  <c r="I149" i="1"/>
  <c r="J149" i="1" s="1"/>
  <c r="L148" i="1"/>
  <c r="AB148" i="1" s="1"/>
  <c r="I148" i="1"/>
  <c r="J148" i="1" s="1"/>
  <c r="AB147" i="1"/>
  <c r="L147" i="1"/>
  <c r="I147" i="1"/>
  <c r="J147" i="1" s="1"/>
  <c r="AB146" i="1"/>
  <c r="L146" i="1"/>
  <c r="I146" i="1"/>
  <c r="J146" i="1" s="1"/>
  <c r="L145" i="1"/>
  <c r="AB145" i="1" s="1"/>
  <c r="I145" i="1"/>
  <c r="J145" i="1" s="1"/>
  <c r="L144" i="1"/>
  <c r="AB144" i="1" s="1"/>
  <c r="I144" i="1"/>
  <c r="J144" i="1" s="1"/>
  <c r="L143" i="1"/>
  <c r="AB143" i="1" s="1"/>
  <c r="I143" i="1"/>
  <c r="J143" i="1" s="1"/>
  <c r="L142" i="1"/>
  <c r="AB142" i="1" s="1"/>
  <c r="I142" i="1"/>
  <c r="J142" i="1" s="1"/>
  <c r="L141" i="1"/>
  <c r="AB141" i="1" s="1"/>
  <c r="I141" i="1"/>
  <c r="J141" i="1" s="1"/>
  <c r="L140" i="1"/>
  <c r="AB140" i="1" s="1"/>
  <c r="I140" i="1"/>
  <c r="J140" i="1" s="1"/>
  <c r="AB139" i="1"/>
  <c r="L139" i="1"/>
  <c r="I139" i="1"/>
  <c r="J139" i="1" s="1"/>
  <c r="AB138" i="1"/>
  <c r="L138" i="1"/>
  <c r="I138" i="1"/>
  <c r="J138" i="1" s="1"/>
  <c r="L137" i="1"/>
  <c r="AB137" i="1" s="1"/>
  <c r="I137" i="1"/>
  <c r="J137" i="1" s="1"/>
  <c r="L136" i="1"/>
  <c r="AB136" i="1" s="1"/>
  <c r="I136" i="1"/>
  <c r="J136" i="1" s="1"/>
  <c r="L135" i="1"/>
  <c r="AB135" i="1" s="1"/>
  <c r="I135" i="1"/>
  <c r="J135" i="1" s="1"/>
  <c r="L134" i="1"/>
  <c r="AB134" i="1" s="1"/>
  <c r="I134" i="1"/>
  <c r="J134" i="1" s="1"/>
  <c r="L133" i="1"/>
  <c r="AB133" i="1" s="1"/>
  <c r="I133" i="1"/>
  <c r="J133" i="1" s="1"/>
  <c r="L132" i="1"/>
  <c r="AB132" i="1" s="1"/>
  <c r="I132" i="1"/>
  <c r="J132" i="1" s="1"/>
  <c r="AB131" i="1"/>
  <c r="L131" i="1"/>
  <c r="I131" i="1"/>
  <c r="J131" i="1" s="1"/>
  <c r="I130" i="1"/>
  <c r="J130" i="1" s="1"/>
  <c r="I129" i="1"/>
  <c r="J129" i="1" s="1"/>
  <c r="J128" i="1"/>
  <c r="I128" i="1"/>
  <c r="H128" i="1"/>
  <c r="I127" i="1"/>
  <c r="J127" i="1" s="1"/>
  <c r="H127" i="1"/>
  <c r="H126" i="1" s="1"/>
  <c r="I126" i="1"/>
  <c r="J126" i="1" s="1"/>
  <c r="I125" i="1"/>
  <c r="J125" i="1" s="1"/>
  <c r="H125" i="1"/>
  <c r="H124" i="1" s="1"/>
  <c r="J124" i="1"/>
  <c r="I124" i="1"/>
  <c r="I123" i="1"/>
  <c r="J123" i="1" s="1"/>
  <c r="H123" i="1"/>
  <c r="E116" i="1"/>
  <c r="E115" i="1"/>
  <c r="E114" i="1"/>
  <c r="E113" i="1"/>
  <c r="E112" i="1"/>
  <c r="E111" i="1"/>
  <c r="E110" i="1"/>
  <c r="E109" i="1"/>
  <c r="E108" i="1"/>
  <c r="E107" i="1"/>
  <c r="E106" i="1"/>
  <c r="E105" i="1"/>
  <c r="E104" i="1"/>
  <c r="E103" i="1"/>
  <c r="E102" i="1"/>
  <c r="E101" i="1"/>
  <c r="E100" i="1"/>
  <c r="E99" i="1"/>
  <c r="E98" i="1"/>
  <c r="E97" i="1"/>
  <c r="E96" i="1"/>
  <c r="E95" i="1"/>
  <c r="E94" i="1"/>
  <c r="E93" i="1"/>
  <c r="E92" i="1"/>
  <c r="E91" i="1"/>
  <c r="E90" i="1"/>
  <c r="E89" i="1"/>
  <c r="E88" i="1"/>
  <c r="E87" i="1"/>
  <c r="E86" i="1"/>
  <c r="E85" i="1"/>
  <c r="E84" i="1"/>
  <c r="E83" i="1"/>
  <c r="E82" i="1"/>
  <c r="E81" i="1"/>
  <c r="E80" i="1"/>
  <c r="E79" i="1"/>
  <c r="E78" i="1"/>
  <c r="E77" i="1"/>
  <c r="E76" i="1"/>
  <c r="E75" i="1"/>
  <c r="E74" i="1"/>
  <c r="E73" i="1"/>
  <c r="E72" i="1"/>
  <c r="E71" i="1"/>
  <c r="E70" i="1"/>
  <c r="E69" i="1"/>
  <c r="E68" i="1"/>
  <c r="E67" i="1"/>
  <c r="E66" i="1"/>
  <c r="E65" i="1"/>
  <c r="E64" i="1"/>
  <c r="E63" i="1"/>
  <c r="E62" i="1"/>
  <c r="E61" i="1"/>
  <c r="E60" i="1"/>
  <c r="E59" i="1"/>
  <c r="E58" i="1"/>
  <c r="E57" i="1"/>
  <c r="E56" i="1"/>
  <c r="E55" i="1"/>
  <c r="E54" i="1"/>
  <c r="E53" i="1"/>
  <c r="E52" i="1"/>
  <c r="E51" i="1"/>
  <c r="E50" i="1"/>
  <c r="E49" i="1"/>
  <c r="E48" i="1"/>
  <c r="E47" i="1"/>
  <c r="E46" i="1"/>
  <c r="E45" i="1"/>
  <c r="E44" i="1"/>
  <c r="E43" i="1"/>
  <c r="E42" i="1"/>
  <c r="E41" i="1"/>
  <c r="E40" i="1"/>
  <c r="E39" i="1"/>
  <c r="E38" i="1"/>
  <c r="E37" i="1"/>
  <c r="E36" i="1"/>
  <c r="E35" i="1"/>
  <c r="E34" i="1"/>
  <c r="E33" i="1"/>
  <c r="E32" i="1"/>
  <c r="E31" i="1"/>
  <c r="E30" i="1"/>
  <c r="E29" i="1"/>
  <c r="E28" i="1"/>
  <c r="E27" i="1"/>
  <c r="E26" i="1"/>
  <c r="E25" i="1"/>
  <c r="E24" i="1"/>
  <c r="E23" i="1"/>
  <c r="E22" i="1"/>
  <c r="E21" i="1"/>
  <c r="E20" i="1"/>
  <c r="E19" i="1"/>
  <c r="E18" i="1"/>
  <c r="E17" i="1"/>
  <c r="E16" i="1"/>
  <c r="E15" i="1"/>
  <c r="E14" i="1"/>
  <c r="L13" i="1"/>
  <c r="AB13" i="1" s="1"/>
  <c r="E13" i="1"/>
  <c r="A13" i="1"/>
  <c r="A14" i="1" s="1"/>
  <c r="E12" i="1"/>
  <c r="A12" i="1"/>
  <c r="L12" i="1" s="1"/>
  <c r="AB12" i="1" s="1"/>
  <c r="E11" i="1"/>
  <c r="B11" i="1"/>
  <c r="A11" i="1"/>
  <c r="L11" i="1" s="1"/>
  <c r="AB11" i="1" s="1"/>
  <c r="AB10" i="1"/>
  <c r="L10" i="1"/>
  <c r="E10" i="1"/>
  <c r="C10" i="1"/>
  <c r="AP6" i="1"/>
  <c r="AO6" i="1"/>
  <c r="AN6" i="1"/>
  <c r="AM6" i="1"/>
  <c r="AL6" i="1"/>
  <c r="AC5" i="1"/>
  <c r="AF4" i="1" s="1"/>
  <c r="P5" i="1"/>
  <c r="P6" i="1" s="1"/>
  <c r="AC4" i="1"/>
  <c r="P4" i="1"/>
  <c r="M6" i="1" l="1"/>
  <c r="M10" i="1"/>
  <c r="AF5" i="1"/>
  <c r="AF6" i="1" s="1"/>
  <c r="M11" i="1"/>
  <c r="L14" i="1"/>
  <c r="AB14" i="1" s="1"/>
  <c r="A15" i="1"/>
  <c r="AC148" i="1"/>
  <c r="AE147" i="1"/>
  <c r="AC144" i="1"/>
  <c r="AE143" i="1"/>
  <c r="AC140" i="1"/>
  <c r="AE139" i="1"/>
  <c r="AC136" i="1"/>
  <c r="AE135" i="1"/>
  <c r="AC132" i="1"/>
  <c r="AE131" i="1"/>
  <c r="AE150" i="1"/>
  <c r="AF150" i="1" s="1"/>
  <c r="AC147" i="1"/>
  <c r="AE146" i="1"/>
  <c r="AC143" i="1"/>
  <c r="AE142" i="1"/>
  <c r="AC139" i="1"/>
  <c r="AE138" i="1"/>
  <c r="AC135" i="1"/>
  <c r="AE134" i="1"/>
  <c r="AC131" i="1"/>
  <c r="AC150" i="1"/>
  <c r="AD150" i="1" s="1"/>
  <c r="AE148" i="1"/>
  <c r="AC145" i="1"/>
  <c r="AC142" i="1"/>
  <c r="AE140" i="1"/>
  <c r="AC137" i="1"/>
  <c r="AC134" i="1"/>
  <c r="AE132" i="1"/>
  <c r="AE149" i="1"/>
  <c r="AE141" i="1"/>
  <c r="AE133" i="1"/>
  <c r="AC141" i="1"/>
  <c r="AE136" i="1"/>
  <c r="AC138" i="1"/>
  <c r="AE137" i="1"/>
  <c r="AC133" i="1"/>
  <c r="AC149" i="1"/>
  <c r="AE144" i="1"/>
  <c r="AC146" i="1"/>
  <c r="AE145" i="1"/>
  <c r="AC6" i="1"/>
  <c r="AC10" i="1"/>
  <c r="AC11" i="1"/>
  <c r="AE10" i="1"/>
  <c r="O150" i="1"/>
  <c r="P150" i="1" s="1"/>
  <c r="O149" i="1"/>
  <c r="O148" i="1"/>
  <c r="O147" i="1"/>
  <c r="O146" i="1"/>
  <c r="O145" i="1"/>
  <c r="O144" i="1"/>
  <c r="O143" i="1"/>
  <c r="O142" i="1"/>
  <c r="O141" i="1"/>
  <c r="O140" i="1"/>
  <c r="O139" i="1"/>
  <c r="O138" i="1"/>
  <c r="O137" i="1"/>
  <c r="O136" i="1"/>
  <c r="O135" i="1"/>
  <c r="O134" i="1"/>
  <c r="O133" i="1"/>
  <c r="O132" i="1"/>
  <c r="O131" i="1"/>
  <c r="M148" i="1"/>
  <c r="M144" i="1"/>
  <c r="M140" i="1"/>
  <c r="M136" i="1"/>
  <c r="M132" i="1"/>
  <c r="M147" i="1"/>
  <c r="M143" i="1"/>
  <c r="M139" i="1"/>
  <c r="M135" i="1"/>
  <c r="M131" i="1"/>
  <c r="M149" i="1"/>
  <c r="M146" i="1"/>
  <c r="M141" i="1"/>
  <c r="M138" i="1"/>
  <c r="M133" i="1"/>
  <c r="M142" i="1"/>
  <c r="M137" i="1"/>
  <c r="M150" i="1"/>
  <c r="N150" i="1" s="1"/>
  <c r="M145" i="1"/>
  <c r="M134" i="1"/>
  <c r="O10" i="1"/>
  <c r="B12" i="1"/>
  <c r="F10" i="1"/>
  <c r="I122" i="1"/>
  <c r="J122" i="1" s="1"/>
  <c r="H122" i="1"/>
  <c r="L15" i="1" l="1"/>
  <c r="AB15" i="1" s="1"/>
  <c r="A16" i="1"/>
  <c r="AC12" i="1"/>
  <c r="M12" i="1"/>
  <c r="B13" i="1"/>
  <c r="C12" i="1" s="1"/>
  <c r="C11" i="1"/>
  <c r="P149" i="1"/>
  <c r="P148" i="1" s="1"/>
  <c r="P147" i="1" s="1"/>
  <c r="P146" i="1" s="1"/>
  <c r="P145" i="1" s="1"/>
  <c r="P144" i="1" s="1"/>
  <c r="P143" i="1" s="1"/>
  <c r="P142" i="1" s="1"/>
  <c r="P141" i="1" s="1"/>
  <c r="P140" i="1" s="1"/>
  <c r="P139" i="1" s="1"/>
  <c r="P138" i="1" s="1"/>
  <c r="P137" i="1" s="1"/>
  <c r="P136" i="1" s="1"/>
  <c r="P135" i="1" s="1"/>
  <c r="P134" i="1" s="1"/>
  <c r="P133" i="1" s="1"/>
  <c r="P132" i="1" s="1"/>
  <c r="P131" i="1" s="1"/>
  <c r="AD149" i="1"/>
  <c r="AD148" i="1" s="1"/>
  <c r="AD147" i="1" s="1"/>
  <c r="AD146" i="1" s="1"/>
  <c r="AD145" i="1" s="1"/>
  <c r="AD144" i="1" s="1"/>
  <c r="AD143" i="1" s="1"/>
  <c r="AD142" i="1" s="1"/>
  <c r="AD141" i="1" s="1"/>
  <c r="AD140" i="1" s="1"/>
  <c r="AD139" i="1" s="1"/>
  <c r="AD138" i="1" s="1"/>
  <c r="AD137" i="1" s="1"/>
  <c r="AD136" i="1" s="1"/>
  <c r="AD135" i="1" s="1"/>
  <c r="AD134" i="1" s="1"/>
  <c r="AD133" i="1" s="1"/>
  <c r="AD132" i="1" s="1"/>
  <c r="AD131" i="1" s="1"/>
  <c r="AF149" i="1"/>
  <c r="AF148" i="1" s="1"/>
  <c r="AF147" i="1" s="1"/>
  <c r="AF146" i="1" s="1"/>
  <c r="AF145" i="1" s="1"/>
  <c r="AF144" i="1" s="1"/>
  <c r="AF143" i="1" s="1"/>
  <c r="AF142" i="1" s="1"/>
  <c r="AF141" i="1" s="1"/>
  <c r="AF140" i="1" s="1"/>
  <c r="AF139" i="1" s="1"/>
  <c r="AF138" i="1" s="1"/>
  <c r="AF137" i="1" s="1"/>
  <c r="AF136" i="1" s="1"/>
  <c r="AF135" i="1" s="1"/>
  <c r="AF134" i="1" s="1"/>
  <c r="AF133" i="1" s="1"/>
  <c r="AF132" i="1" s="1"/>
  <c r="AF131" i="1" s="1"/>
  <c r="H121" i="1"/>
  <c r="I121" i="1"/>
  <c r="J121" i="1" s="1"/>
  <c r="N149" i="1"/>
  <c r="N148" i="1" s="1"/>
  <c r="N147" i="1" s="1"/>
  <c r="N146" i="1" s="1"/>
  <c r="N145" i="1" s="1"/>
  <c r="N144" i="1" s="1"/>
  <c r="N143" i="1" s="1"/>
  <c r="N142" i="1" s="1"/>
  <c r="N141" i="1" s="1"/>
  <c r="N140" i="1" s="1"/>
  <c r="N139" i="1" s="1"/>
  <c r="N138" i="1" s="1"/>
  <c r="N137" i="1" s="1"/>
  <c r="N136" i="1" s="1"/>
  <c r="N135" i="1" s="1"/>
  <c r="N134" i="1" s="1"/>
  <c r="N133" i="1" s="1"/>
  <c r="N132" i="1" s="1"/>
  <c r="N131" i="1" s="1"/>
  <c r="AE12" i="1" l="1"/>
  <c r="O12" i="1"/>
  <c r="I120" i="1"/>
  <c r="J120" i="1" s="1"/>
  <c r="H120" i="1"/>
  <c r="AE11" i="1"/>
  <c r="F12" i="1"/>
  <c r="O11" i="1"/>
  <c r="F11" i="1"/>
  <c r="AC13" i="1"/>
  <c r="C13" i="1"/>
  <c r="M13" i="1"/>
  <c r="B14" i="1"/>
  <c r="L16" i="1"/>
  <c r="AB16" i="1" s="1"/>
  <c r="A17" i="1"/>
  <c r="B15" i="1" l="1"/>
  <c r="AC14" i="1"/>
  <c r="C14" i="1"/>
  <c r="M14" i="1"/>
  <c r="I119" i="1"/>
  <c r="J119" i="1" s="1"/>
  <c r="H119" i="1"/>
  <c r="L17" i="1"/>
  <c r="AB17" i="1" s="1"/>
  <c r="A18" i="1"/>
  <c r="O13" i="1"/>
  <c r="AE13" i="1"/>
  <c r="F13" i="1"/>
  <c r="A19" i="1" l="1"/>
  <c r="L18" i="1"/>
  <c r="AB18" i="1" s="1"/>
  <c r="AE14" i="1"/>
  <c r="O14" i="1"/>
  <c r="H118" i="1"/>
  <c r="I118" i="1"/>
  <c r="J118" i="1" s="1"/>
  <c r="F14" i="1"/>
  <c r="M15" i="1"/>
  <c r="B16" i="1"/>
  <c r="C15" i="1" s="1"/>
  <c r="AC15" i="1"/>
  <c r="AE15" i="1" l="1"/>
  <c r="O15" i="1"/>
  <c r="F15" i="1"/>
  <c r="L19" i="1"/>
  <c r="AB19" i="1" s="1"/>
  <c r="A20" i="1"/>
  <c r="AC16" i="1"/>
  <c r="C16" i="1"/>
  <c r="M16" i="1"/>
  <c r="B17" i="1"/>
  <c r="AE16" i="1" l="1"/>
  <c r="O16" i="1"/>
  <c r="F16" i="1"/>
  <c r="B18" i="1"/>
  <c r="C17" i="1" s="1"/>
  <c r="AC17" i="1"/>
  <c r="M17" i="1"/>
  <c r="L20" i="1"/>
  <c r="AB20" i="1" s="1"/>
  <c r="A21" i="1"/>
  <c r="AE17" i="1" l="1"/>
  <c r="O17" i="1"/>
  <c r="F17" i="1"/>
  <c r="L21" i="1"/>
  <c r="AB21" i="1" s="1"/>
  <c r="A22" i="1"/>
  <c r="AC18" i="1"/>
  <c r="C18" i="1"/>
  <c r="B19" i="1"/>
  <c r="M18" i="1"/>
  <c r="O18" i="1" l="1"/>
  <c r="AE18" i="1"/>
  <c r="A23" i="1"/>
  <c r="L22" i="1"/>
  <c r="AB22" i="1" s="1"/>
  <c r="B20" i="1"/>
  <c r="AC19" i="1"/>
  <c r="M19" i="1"/>
  <c r="C19" i="1"/>
  <c r="F18" i="1"/>
  <c r="M20" i="1" l="1"/>
  <c r="B21" i="1"/>
  <c r="C20" i="1"/>
  <c r="AC20" i="1"/>
  <c r="L23" i="1"/>
  <c r="AB23" i="1" s="1"/>
  <c r="A24" i="1"/>
  <c r="AE19" i="1"/>
  <c r="F20" i="1"/>
  <c r="O19" i="1"/>
  <c r="F19" i="1"/>
  <c r="AE20" i="1" l="1"/>
  <c r="O20" i="1"/>
  <c r="L24" i="1"/>
  <c r="AB24" i="1" s="1"/>
  <c r="A25" i="1"/>
  <c r="AC21" i="1"/>
  <c r="M21" i="1"/>
  <c r="B22" i="1"/>
  <c r="C21" i="1" s="1"/>
  <c r="AE21" i="1" l="1"/>
  <c r="O21" i="1"/>
  <c r="F21" i="1"/>
  <c r="AC22" i="1"/>
  <c r="B23" i="1"/>
  <c r="M22" i="1"/>
  <c r="L25" i="1"/>
  <c r="AB25" i="1" s="1"/>
  <c r="A26" i="1"/>
  <c r="A27" i="1" l="1"/>
  <c r="L26" i="1"/>
  <c r="AB26" i="1" s="1"/>
  <c r="B24" i="1"/>
  <c r="AC23" i="1"/>
  <c r="M23" i="1"/>
  <c r="C22" i="1"/>
  <c r="O22" i="1" l="1"/>
  <c r="AE22" i="1"/>
  <c r="F22" i="1"/>
  <c r="M24" i="1"/>
  <c r="B25" i="1"/>
  <c r="C24" i="1"/>
  <c r="AC24" i="1"/>
  <c r="C23" i="1"/>
  <c r="L27" i="1"/>
  <c r="AB27" i="1" s="1"/>
  <c r="A28" i="1"/>
  <c r="L28" i="1" l="1"/>
  <c r="AB28" i="1" s="1"/>
  <c r="A29" i="1"/>
  <c r="AE24" i="1"/>
  <c r="O24" i="1"/>
  <c r="AC25" i="1"/>
  <c r="C25" i="1"/>
  <c r="M25" i="1"/>
  <c r="B26" i="1"/>
  <c r="AE23" i="1"/>
  <c r="F24" i="1"/>
  <c r="O23" i="1"/>
  <c r="F23" i="1"/>
  <c r="L29" i="1" l="1"/>
  <c r="AB29" i="1" s="1"/>
  <c r="A30" i="1"/>
  <c r="AE25" i="1"/>
  <c r="O25" i="1"/>
  <c r="AC26" i="1"/>
  <c r="B27" i="1"/>
  <c r="M26" i="1"/>
  <c r="F25" i="1"/>
  <c r="B28" i="1" l="1"/>
  <c r="C27" i="1" s="1"/>
  <c r="AC27" i="1"/>
  <c r="M27" i="1"/>
  <c r="A31" i="1"/>
  <c r="L30" i="1"/>
  <c r="AB30" i="1" s="1"/>
  <c r="C26" i="1"/>
  <c r="AE27" i="1" l="1"/>
  <c r="O27" i="1"/>
  <c r="L31" i="1"/>
  <c r="AB31" i="1" s="1"/>
  <c r="A32" i="1"/>
  <c r="F27" i="1"/>
  <c r="O26" i="1"/>
  <c r="AE26" i="1"/>
  <c r="F26" i="1"/>
  <c r="M28" i="1"/>
  <c r="B29" i="1"/>
  <c r="AC28" i="1"/>
  <c r="AC29" i="1" l="1"/>
  <c r="M29" i="1"/>
  <c r="B30" i="1"/>
  <c r="C28" i="1"/>
  <c r="L32" i="1"/>
  <c r="AB32" i="1" s="1"/>
  <c r="A33" i="1"/>
  <c r="AC30" i="1" l="1"/>
  <c r="C30" i="1"/>
  <c r="B31" i="1"/>
  <c r="M30" i="1"/>
  <c r="C29" i="1"/>
  <c r="L33" i="1"/>
  <c r="AB33" i="1" s="1"/>
  <c r="A34" i="1"/>
  <c r="AE28" i="1"/>
  <c r="O28" i="1"/>
  <c r="F29" i="1"/>
  <c r="F28" i="1"/>
  <c r="F30" i="1" l="1"/>
  <c r="AE29" i="1"/>
  <c r="O29" i="1"/>
  <c r="O30" i="1"/>
  <c r="AE30" i="1"/>
  <c r="A35" i="1"/>
  <c r="L34" i="1"/>
  <c r="AB34" i="1" s="1"/>
  <c r="B32" i="1"/>
  <c r="AC31" i="1"/>
  <c r="M31" i="1"/>
  <c r="M32" i="1" l="1"/>
  <c r="B33" i="1"/>
  <c r="AC32" i="1"/>
  <c r="C31" i="1"/>
  <c r="L35" i="1"/>
  <c r="AB35" i="1" s="1"/>
  <c r="A36" i="1"/>
  <c r="AE31" i="1" l="1"/>
  <c r="F32" i="1"/>
  <c r="O31" i="1"/>
  <c r="F31" i="1"/>
  <c r="AC33" i="1"/>
  <c r="C33" i="1"/>
  <c r="M33" i="1"/>
  <c r="B34" i="1"/>
  <c r="L36" i="1"/>
  <c r="AB36" i="1" s="1"/>
  <c r="A37" i="1"/>
  <c r="C32" i="1"/>
  <c r="L37" i="1" l="1"/>
  <c r="AB37" i="1" s="1"/>
  <c r="A38" i="1"/>
  <c r="AC34" i="1"/>
  <c r="B35" i="1"/>
  <c r="C34" i="1" s="1"/>
  <c r="M34" i="1"/>
  <c r="AE32" i="1"/>
  <c r="O32" i="1"/>
  <c r="F33" i="1"/>
  <c r="AE33" i="1"/>
  <c r="O33" i="1"/>
  <c r="O34" i="1" l="1"/>
  <c r="AE34" i="1"/>
  <c r="F34" i="1"/>
  <c r="A39" i="1"/>
  <c r="L38" i="1"/>
  <c r="AB38" i="1" s="1"/>
  <c r="B36" i="1"/>
  <c r="AC35" i="1"/>
  <c r="M35" i="1"/>
  <c r="M36" i="1" l="1"/>
  <c r="B37" i="1"/>
  <c r="C36" i="1"/>
  <c r="AC36" i="1"/>
  <c r="C35" i="1"/>
  <c r="L39" i="1"/>
  <c r="AB39" i="1" s="1"/>
  <c r="A40" i="1"/>
  <c r="AE35" i="1" l="1"/>
  <c r="F36" i="1"/>
  <c r="O35" i="1"/>
  <c r="F35" i="1"/>
  <c r="L40" i="1"/>
  <c r="AB40" i="1" s="1"/>
  <c r="A41" i="1"/>
  <c r="AE36" i="1"/>
  <c r="O36" i="1"/>
  <c r="AC37" i="1"/>
  <c r="M37" i="1"/>
  <c r="B38" i="1"/>
  <c r="AC38" i="1" l="1"/>
  <c r="C38" i="1"/>
  <c r="B39" i="1"/>
  <c r="M38" i="1"/>
  <c r="C37" i="1"/>
  <c r="L41" i="1"/>
  <c r="AB41" i="1" s="1"/>
  <c r="A42" i="1"/>
  <c r="F38" i="1" l="1"/>
  <c r="AE37" i="1"/>
  <c r="O37" i="1"/>
  <c r="F37" i="1"/>
  <c r="A43" i="1"/>
  <c r="L42" i="1"/>
  <c r="AB42" i="1" s="1"/>
  <c r="B40" i="1"/>
  <c r="AC39" i="1"/>
  <c r="M39" i="1"/>
  <c r="O38" i="1"/>
  <c r="AE38" i="1"/>
  <c r="M40" i="1" l="1"/>
  <c r="B41" i="1"/>
  <c r="C40" i="1"/>
  <c r="AC40" i="1"/>
  <c r="C39" i="1"/>
  <c r="L43" i="1"/>
  <c r="AB43" i="1" s="1"/>
  <c r="A44" i="1"/>
  <c r="L44" i="1" l="1"/>
  <c r="AB44" i="1" s="1"/>
  <c r="A45" i="1"/>
  <c r="AC41" i="1"/>
  <c r="C41" i="1"/>
  <c r="M41" i="1"/>
  <c r="B42" i="1"/>
  <c r="AE40" i="1"/>
  <c r="O40" i="1"/>
  <c r="AE39" i="1"/>
  <c r="F40" i="1"/>
  <c r="O39" i="1"/>
  <c r="F39" i="1"/>
  <c r="AE41" i="1" l="1"/>
  <c r="O41" i="1"/>
  <c r="AC42" i="1"/>
  <c r="B43" i="1"/>
  <c r="M42" i="1"/>
  <c r="L45" i="1"/>
  <c r="AB45" i="1" s="1"/>
  <c r="A46" i="1"/>
  <c r="F41" i="1"/>
  <c r="B44" i="1" l="1"/>
  <c r="C43" i="1" s="1"/>
  <c r="AC43" i="1"/>
  <c r="M43" i="1"/>
  <c r="A47" i="1"/>
  <c r="L46" i="1"/>
  <c r="AB46" i="1" s="1"/>
  <c r="C42" i="1"/>
  <c r="AE43" i="1" l="1"/>
  <c r="O43" i="1"/>
  <c r="F43" i="1"/>
  <c r="O42" i="1"/>
  <c r="AE42" i="1"/>
  <c r="F42" i="1"/>
  <c r="L47" i="1"/>
  <c r="AB47" i="1" s="1"/>
  <c r="A48" i="1"/>
  <c r="M44" i="1"/>
  <c r="B45" i="1"/>
  <c r="AC44" i="1"/>
  <c r="AC45" i="1" l="1"/>
  <c r="M45" i="1"/>
  <c r="B46" i="1"/>
  <c r="C44" i="1"/>
  <c r="L48" i="1"/>
  <c r="AB48" i="1" s="1"/>
  <c r="A49" i="1"/>
  <c r="AC46" i="1" l="1"/>
  <c r="B47" i="1"/>
  <c r="M46" i="1"/>
  <c r="C45" i="1"/>
  <c r="L49" i="1"/>
  <c r="AB49" i="1" s="1"/>
  <c r="A50" i="1"/>
  <c r="AE44" i="1"/>
  <c r="O44" i="1"/>
  <c r="F45" i="1"/>
  <c r="F44" i="1"/>
  <c r="B48" i="1" l="1"/>
  <c r="AC47" i="1"/>
  <c r="M47" i="1"/>
  <c r="C47" i="1"/>
  <c r="C46" i="1"/>
  <c r="A51" i="1"/>
  <c r="L50" i="1"/>
  <c r="AB50" i="1" s="1"/>
  <c r="F46" i="1"/>
  <c r="AE45" i="1"/>
  <c r="O45" i="1"/>
  <c r="AE47" i="1" l="1"/>
  <c r="O47" i="1"/>
  <c r="L51" i="1"/>
  <c r="AB51" i="1" s="1"/>
  <c r="A52" i="1"/>
  <c r="F47" i="1"/>
  <c r="O46" i="1"/>
  <c r="AE46" i="1"/>
  <c r="M48" i="1"/>
  <c r="B49" i="1"/>
  <c r="C48" i="1"/>
  <c r="F48" i="1" s="1"/>
  <c r="AC48" i="1"/>
  <c r="AC49" i="1" l="1"/>
  <c r="M49" i="1"/>
  <c r="B50" i="1"/>
  <c r="AE48" i="1"/>
  <c r="O48" i="1"/>
  <c r="L52" i="1"/>
  <c r="AB52" i="1" s="1"/>
  <c r="A53" i="1"/>
  <c r="AC50" i="1" l="1"/>
  <c r="B51" i="1"/>
  <c r="M50" i="1"/>
  <c r="C49" i="1"/>
  <c r="A54" i="1"/>
  <c r="L53" i="1"/>
  <c r="AB53" i="1" s="1"/>
  <c r="B52" i="1" l="1"/>
  <c r="C51" i="1" s="1"/>
  <c r="AC51" i="1"/>
  <c r="M51" i="1"/>
  <c r="L54" i="1"/>
  <c r="AB54" i="1" s="1"/>
  <c r="A55" i="1"/>
  <c r="C50" i="1"/>
  <c r="F50" i="1"/>
  <c r="AE49" i="1"/>
  <c r="O49" i="1"/>
  <c r="F49" i="1"/>
  <c r="AE51" i="1" l="1"/>
  <c r="O51" i="1"/>
  <c r="F51" i="1"/>
  <c r="O50" i="1"/>
  <c r="AE50" i="1"/>
  <c r="L55" i="1"/>
  <c r="AB55" i="1" s="1"/>
  <c r="A56" i="1"/>
  <c r="M52" i="1"/>
  <c r="B53" i="1"/>
  <c r="C52" i="1"/>
  <c r="AC52" i="1"/>
  <c r="L56" i="1" l="1"/>
  <c r="AB56" i="1" s="1"/>
  <c r="A57" i="1"/>
  <c r="AE52" i="1"/>
  <c r="O52" i="1"/>
  <c r="AC53" i="1"/>
  <c r="C53" i="1"/>
  <c r="M53" i="1"/>
  <c r="B54" i="1"/>
  <c r="F52" i="1"/>
  <c r="AE53" i="1" l="1"/>
  <c r="O53" i="1"/>
  <c r="A58" i="1"/>
  <c r="L57" i="1"/>
  <c r="AB57" i="1" s="1"/>
  <c r="B55" i="1"/>
  <c r="AC54" i="1"/>
  <c r="C54" i="1"/>
  <c r="M54" i="1"/>
  <c r="F53" i="1"/>
  <c r="AE54" i="1" l="1"/>
  <c r="O54" i="1"/>
  <c r="L58" i="1"/>
  <c r="AB58" i="1" s="1"/>
  <c r="A59" i="1"/>
  <c r="M55" i="1"/>
  <c r="B56" i="1"/>
  <c r="AC55" i="1"/>
  <c r="F54" i="1"/>
  <c r="AC56" i="1" l="1"/>
  <c r="M56" i="1"/>
  <c r="B57" i="1"/>
  <c r="C55" i="1"/>
  <c r="L59" i="1"/>
  <c r="AB59" i="1" s="1"/>
  <c r="A60" i="1"/>
  <c r="AC57" i="1" l="1"/>
  <c r="C57" i="1"/>
  <c r="M57" i="1"/>
  <c r="B58" i="1"/>
  <c r="C56" i="1"/>
  <c r="A61" i="1"/>
  <c r="L60" i="1"/>
  <c r="AB60" i="1" s="1"/>
  <c r="AE55" i="1"/>
  <c r="F56" i="1"/>
  <c r="O55" i="1"/>
  <c r="F55" i="1"/>
  <c r="O57" i="1" l="1"/>
  <c r="AE57" i="1"/>
  <c r="B59" i="1"/>
  <c r="C58" i="1" s="1"/>
  <c r="AC58" i="1"/>
  <c r="M58" i="1"/>
  <c r="A62" i="1"/>
  <c r="L61" i="1"/>
  <c r="AB61" i="1" s="1"/>
  <c r="AE56" i="1"/>
  <c r="F57" i="1"/>
  <c r="O56" i="1"/>
  <c r="AE58" i="1" l="1"/>
  <c r="O58" i="1"/>
  <c r="F58" i="1"/>
  <c r="L62" i="1"/>
  <c r="AB62" i="1" s="1"/>
  <c r="A63" i="1"/>
  <c r="M59" i="1"/>
  <c r="B60" i="1"/>
  <c r="AC59" i="1"/>
  <c r="AC60" i="1" l="1"/>
  <c r="C60" i="1"/>
  <c r="B61" i="1"/>
  <c r="M60" i="1"/>
  <c r="C59" i="1"/>
  <c r="L63" i="1"/>
  <c r="AB63" i="1" s="1"/>
  <c r="A64" i="1"/>
  <c r="AE59" i="1" l="1"/>
  <c r="F60" i="1"/>
  <c r="O59" i="1"/>
  <c r="F59" i="1"/>
  <c r="L64" i="1"/>
  <c r="AB64" i="1" s="1"/>
  <c r="A65" i="1"/>
  <c r="AC61" i="1"/>
  <c r="M61" i="1"/>
  <c r="B62" i="1"/>
  <c r="AE60" i="1"/>
  <c r="O60" i="1"/>
  <c r="B63" i="1" l="1"/>
  <c r="C62" i="1" s="1"/>
  <c r="AC62" i="1"/>
  <c r="M62" i="1"/>
  <c r="A66" i="1"/>
  <c r="L65" i="1"/>
  <c r="AB65" i="1" s="1"/>
  <c r="C61" i="1"/>
  <c r="AE62" i="1" l="1"/>
  <c r="O62" i="1"/>
  <c r="F62" i="1"/>
  <c r="O61" i="1"/>
  <c r="AE61" i="1"/>
  <c r="F61" i="1"/>
  <c r="L66" i="1"/>
  <c r="AB66" i="1" s="1"/>
  <c r="A67" i="1"/>
  <c r="M63" i="1"/>
  <c r="AC63" i="1"/>
  <c r="B64" i="1"/>
  <c r="C63" i="1"/>
  <c r="F63" i="1" s="1"/>
  <c r="AC64" i="1" l="1"/>
  <c r="M64" i="1"/>
  <c r="B65" i="1"/>
  <c r="AE63" i="1"/>
  <c r="O63" i="1"/>
  <c r="A68" i="1"/>
  <c r="L67" i="1"/>
  <c r="AB67" i="1" s="1"/>
  <c r="A69" i="1" l="1"/>
  <c r="L68" i="1"/>
  <c r="AB68" i="1" s="1"/>
  <c r="B66" i="1"/>
  <c r="C65" i="1" s="1"/>
  <c r="AC65" i="1"/>
  <c r="M65" i="1"/>
  <c r="C64" i="1"/>
  <c r="F66" i="1" l="1"/>
  <c r="O65" i="1"/>
  <c r="AE65" i="1"/>
  <c r="A70" i="1"/>
  <c r="L69" i="1"/>
  <c r="AB69" i="1" s="1"/>
  <c r="F65" i="1"/>
  <c r="AE64" i="1"/>
  <c r="O64" i="1"/>
  <c r="F64" i="1"/>
  <c r="B67" i="1"/>
  <c r="C66" i="1"/>
  <c r="AC66" i="1"/>
  <c r="M66" i="1"/>
  <c r="L70" i="1" l="1"/>
  <c r="AB70" i="1" s="1"/>
  <c r="A71" i="1"/>
  <c r="AE66" i="1"/>
  <c r="O66" i="1"/>
  <c r="M67" i="1"/>
  <c r="B68" i="1"/>
  <c r="C67" i="1"/>
  <c r="AC67" i="1"/>
  <c r="AC68" i="1" l="1"/>
  <c r="B69" i="1"/>
  <c r="M68" i="1"/>
  <c r="L71" i="1"/>
  <c r="AB71" i="1" s="1"/>
  <c r="A72" i="1"/>
  <c r="AE67" i="1"/>
  <c r="O67" i="1"/>
  <c r="F67" i="1"/>
  <c r="AC69" i="1" l="1"/>
  <c r="M69" i="1"/>
  <c r="C69" i="1"/>
  <c r="B70" i="1"/>
  <c r="L72" i="1"/>
  <c r="AB72" i="1" s="1"/>
  <c r="A73" i="1"/>
  <c r="C68" i="1"/>
  <c r="F69" i="1" l="1"/>
  <c r="AE68" i="1"/>
  <c r="O68" i="1"/>
  <c r="F68" i="1"/>
  <c r="B71" i="1"/>
  <c r="C70" i="1" s="1"/>
  <c r="AC70" i="1"/>
  <c r="M70" i="1"/>
  <c r="O69" i="1"/>
  <c r="AE69" i="1"/>
  <c r="A74" i="1"/>
  <c r="L73" i="1"/>
  <c r="AB73" i="1" s="1"/>
  <c r="AE70" i="1" l="1"/>
  <c r="O70" i="1"/>
  <c r="F70" i="1"/>
  <c r="L74" i="1"/>
  <c r="AB74" i="1" s="1"/>
  <c r="A75" i="1"/>
  <c r="M71" i="1"/>
  <c r="AC71" i="1"/>
  <c r="B72" i="1"/>
  <c r="C71" i="1" s="1"/>
  <c r="AE71" i="1" l="1"/>
  <c r="O71" i="1"/>
  <c r="F71" i="1"/>
  <c r="A76" i="1"/>
  <c r="L75" i="1"/>
  <c r="AB75" i="1" s="1"/>
  <c r="AC72" i="1"/>
  <c r="M72" i="1"/>
  <c r="B73" i="1"/>
  <c r="C72" i="1" s="1"/>
  <c r="F73" i="1" l="1"/>
  <c r="AE72" i="1"/>
  <c r="O72" i="1"/>
  <c r="F72" i="1"/>
  <c r="A77" i="1"/>
  <c r="L76" i="1"/>
  <c r="AB76" i="1" s="1"/>
  <c r="B74" i="1"/>
  <c r="C73" i="1"/>
  <c r="AC73" i="1"/>
  <c r="M73" i="1"/>
  <c r="A78" i="1" l="1"/>
  <c r="L77" i="1"/>
  <c r="AB77" i="1" s="1"/>
  <c r="O73" i="1"/>
  <c r="AE73" i="1"/>
  <c r="B75" i="1"/>
  <c r="C74" i="1"/>
  <c r="F74" i="1" s="1"/>
  <c r="M74" i="1"/>
  <c r="AC74" i="1"/>
  <c r="AE74" i="1" l="1"/>
  <c r="O74" i="1"/>
  <c r="M75" i="1"/>
  <c r="B76" i="1"/>
  <c r="C75" i="1"/>
  <c r="F75" i="1" s="1"/>
  <c r="AC75" i="1"/>
  <c r="L78" i="1"/>
  <c r="AB78" i="1" s="1"/>
  <c r="A79" i="1"/>
  <c r="AC76" i="1" l="1"/>
  <c r="B77" i="1"/>
  <c r="M76" i="1"/>
  <c r="L79" i="1"/>
  <c r="AB79" i="1" s="1"/>
  <c r="A80" i="1"/>
  <c r="AE75" i="1"/>
  <c r="O75" i="1"/>
  <c r="AC77" i="1" l="1"/>
  <c r="M77" i="1"/>
  <c r="B78" i="1"/>
  <c r="C77" i="1"/>
  <c r="L80" i="1"/>
  <c r="AB80" i="1" s="1"/>
  <c r="A81" i="1"/>
  <c r="C76" i="1"/>
  <c r="O77" i="1" l="1"/>
  <c r="AE77" i="1"/>
  <c r="A82" i="1"/>
  <c r="L81" i="1"/>
  <c r="AB81" i="1" s="1"/>
  <c r="F77" i="1"/>
  <c r="AE76" i="1"/>
  <c r="O76" i="1"/>
  <c r="F76" i="1"/>
  <c r="B79" i="1"/>
  <c r="AC78" i="1"/>
  <c r="M78" i="1"/>
  <c r="L82" i="1" l="1"/>
  <c r="AB82" i="1" s="1"/>
  <c r="A83" i="1"/>
  <c r="M79" i="1"/>
  <c r="AC79" i="1"/>
  <c r="B80" i="1"/>
  <c r="C79" i="1" s="1"/>
  <c r="C78" i="1"/>
  <c r="AE79" i="1" l="1"/>
  <c r="O79" i="1"/>
  <c r="AE78" i="1"/>
  <c r="F79" i="1"/>
  <c r="O78" i="1"/>
  <c r="F78" i="1"/>
  <c r="A84" i="1"/>
  <c r="L83" i="1"/>
  <c r="AB83" i="1" s="1"/>
  <c r="AC80" i="1"/>
  <c r="M80" i="1"/>
  <c r="B81" i="1"/>
  <c r="B82" i="1" l="1"/>
  <c r="C81" i="1" s="1"/>
  <c r="AC81" i="1"/>
  <c r="M81" i="1"/>
  <c r="A85" i="1"/>
  <c r="L84" i="1"/>
  <c r="AB84" i="1" s="1"/>
  <c r="C80" i="1"/>
  <c r="O81" i="1" l="1"/>
  <c r="AE81" i="1"/>
  <c r="F81" i="1"/>
  <c r="AE80" i="1"/>
  <c r="O80" i="1"/>
  <c r="F80" i="1"/>
  <c r="A86" i="1"/>
  <c r="L85" i="1"/>
  <c r="AB85" i="1" s="1"/>
  <c r="B83" i="1"/>
  <c r="AC82" i="1"/>
  <c r="M82" i="1"/>
  <c r="M83" i="1" l="1"/>
  <c r="B84" i="1"/>
  <c r="C83" i="1"/>
  <c r="AC83" i="1"/>
  <c r="L86" i="1"/>
  <c r="AB86" i="1" s="1"/>
  <c r="A87" i="1"/>
  <c r="C82" i="1"/>
  <c r="AE82" i="1" l="1"/>
  <c r="O82" i="1"/>
  <c r="F83" i="1"/>
  <c r="F82" i="1"/>
  <c r="AE83" i="1"/>
  <c r="O83" i="1"/>
  <c r="L87" i="1"/>
  <c r="AB87" i="1" s="1"/>
  <c r="A88" i="1"/>
  <c r="AC84" i="1"/>
  <c r="C84" i="1"/>
  <c r="B85" i="1"/>
  <c r="M84" i="1"/>
  <c r="AC85" i="1" l="1"/>
  <c r="M85" i="1"/>
  <c r="B86" i="1"/>
  <c r="AE84" i="1"/>
  <c r="O84" i="1"/>
  <c r="L88" i="1"/>
  <c r="AB88" i="1" s="1"/>
  <c r="A89" i="1"/>
  <c r="F84" i="1"/>
  <c r="B87" i="1" l="1"/>
  <c r="AC86" i="1"/>
  <c r="M86" i="1"/>
  <c r="C85" i="1"/>
  <c r="L89" i="1"/>
  <c r="AB89" i="1" s="1"/>
  <c r="A90" i="1"/>
  <c r="M87" i="1" l="1"/>
  <c r="AC87" i="1"/>
  <c r="B88" i="1"/>
  <c r="C87" i="1" s="1"/>
  <c r="C86" i="1"/>
  <c r="F86" i="1"/>
  <c r="O85" i="1"/>
  <c r="AE85" i="1"/>
  <c r="F85" i="1"/>
  <c r="A91" i="1"/>
  <c r="L90" i="1"/>
  <c r="AB90" i="1" s="1"/>
  <c r="AE87" i="1" l="1"/>
  <c r="O87" i="1"/>
  <c r="B89" i="1"/>
  <c r="M88" i="1"/>
  <c r="AC88" i="1"/>
  <c r="A92" i="1"/>
  <c r="L91" i="1"/>
  <c r="AB91" i="1" s="1"/>
  <c r="AE86" i="1"/>
  <c r="F87" i="1"/>
  <c r="O86" i="1"/>
  <c r="L92" i="1" l="1"/>
  <c r="AB92" i="1" s="1"/>
  <c r="A93" i="1"/>
  <c r="M89" i="1"/>
  <c r="B90" i="1"/>
  <c r="C89" i="1" s="1"/>
  <c r="AC89" i="1"/>
  <c r="C88" i="1"/>
  <c r="O89" i="1" l="1"/>
  <c r="AE89" i="1"/>
  <c r="AC90" i="1"/>
  <c r="M90" i="1"/>
  <c r="B91" i="1"/>
  <c r="AE88" i="1"/>
  <c r="F89" i="1"/>
  <c r="O88" i="1"/>
  <c r="F88" i="1"/>
  <c r="A94" i="1"/>
  <c r="L93" i="1"/>
  <c r="AB93" i="1" s="1"/>
  <c r="L94" i="1" l="1"/>
  <c r="AB94" i="1" s="1"/>
  <c r="A95" i="1"/>
  <c r="M91" i="1"/>
  <c r="B92" i="1"/>
  <c r="AC91" i="1"/>
  <c r="C91" i="1"/>
  <c r="C90" i="1"/>
  <c r="B93" i="1" l="1"/>
  <c r="C92" i="1" s="1"/>
  <c r="M92" i="1"/>
  <c r="AC92" i="1"/>
  <c r="F91" i="1"/>
  <c r="O90" i="1"/>
  <c r="AE90" i="1"/>
  <c r="F90" i="1"/>
  <c r="O91" i="1"/>
  <c r="AE91" i="1"/>
  <c r="A96" i="1"/>
  <c r="L95" i="1"/>
  <c r="AB95" i="1" s="1"/>
  <c r="AE92" i="1" l="1"/>
  <c r="O92" i="1"/>
  <c r="F92" i="1"/>
  <c r="L96" i="1"/>
  <c r="AB96" i="1" s="1"/>
  <c r="A97" i="1"/>
  <c r="M93" i="1"/>
  <c r="B94" i="1"/>
  <c r="C93" i="1"/>
  <c r="F93" i="1" s="1"/>
  <c r="AC93" i="1"/>
  <c r="AC94" i="1" l="1"/>
  <c r="B95" i="1"/>
  <c r="M94" i="1"/>
  <c r="A98" i="1"/>
  <c r="L97" i="1"/>
  <c r="AB97" i="1" s="1"/>
  <c r="O93" i="1"/>
  <c r="AE93" i="1"/>
  <c r="M95" i="1" l="1"/>
  <c r="B96" i="1"/>
  <c r="AC95" i="1"/>
  <c r="C94" i="1"/>
  <c r="L98" i="1"/>
  <c r="AB98" i="1" s="1"/>
  <c r="A99" i="1"/>
  <c r="L99" i="1" l="1"/>
  <c r="AB99" i="1" s="1"/>
  <c r="A100" i="1"/>
  <c r="B97" i="1"/>
  <c r="C96" i="1"/>
  <c r="AC96" i="1"/>
  <c r="M96" i="1"/>
  <c r="C95" i="1"/>
  <c r="F95" i="1" s="1"/>
  <c r="O94" i="1"/>
  <c r="AE94" i="1"/>
  <c r="F94" i="1"/>
  <c r="AC97" i="1" l="1"/>
  <c r="C97" i="1"/>
  <c r="F97" i="1" s="1"/>
  <c r="B98" i="1"/>
  <c r="M97" i="1"/>
  <c r="A101" i="1"/>
  <c r="L100" i="1"/>
  <c r="AB100" i="1" s="1"/>
  <c r="AE96" i="1"/>
  <c r="O96" i="1"/>
  <c r="F96" i="1"/>
  <c r="O95" i="1"/>
  <c r="AE95" i="1"/>
  <c r="B99" i="1" l="1"/>
  <c r="M98" i="1"/>
  <c r="AC98" i="1"/>
  <c r="O97" i="1"/>
  <c r="AE97" i="1"/>
  <c r="A102" i="1"/>
  <c r="L101" i="1"/>
  <c r="AB101" i="1" s="1"/>
  <c r="L102" i="1" l="1"/>
  <c r="AB102" i="1" s="1"/>
  <c r="A103" i="1"/>
  <c r="M99" i="1"/>
  <c r="B100" i="1"/>
  <c r="AC99" i="1"/>
  <c r="C98" i="1"/>
  <c r="AC100" i="1" l="1"/>
  <c r="M100" i="1"/>
  <c r="B101" i="1"/>
  <c r="C99" i="1"/>
  <c r="A104" i="1"/>
  <c r="L103" i="1"/>
  <c r="AB103" i="1" s="1"/>
  <c r="AE98" i="1"/>
  <c r="F99" i="1"/>
  <c r="O98" i="1"/>
  <c r="F98" i="1"/>
  <c r="M101" i="1" l="1"/>
  <c r="B102" i="1"/>
  <c r="AC101" i="1"/>
  <c r="C101" i="1"/>
  <c r="L104" i="1"/>
  <c r="AB104" i="1" s="1"/>
  <c r="A105" i="1"/>
  <c r="C100" i="1"/>
  <c r="F100" i="1"/>
  <c r="O99" i="1"/>
  <c r="AE99" i="1"/>
  <c r="O101" i="1" l="1"/>
  <c r="AE101" i="1"/>
  <c r="F101" i="1"/>
  <c r="O100" i="1"/>
  <c r="AE100" i="1"/>
  <c r="A106" i="1"/>
  <c r="L105" i="1"/>
  <c r="AB105" i="1" s="1"/>
  <c r="B103" i="1"/>
  <c r="C102" i="1"/>
  <c r="M102" i="1"/>
  <c r="AC102" i="1"/>
  <c r="L106" i="1" l="1"/>
  <c r="AB106" i="1" s="1"/>
  <c r="A107" i="1"/>
  <c r="AE102" i="1"/>
  <c r="O102" i="1"/>
  <c r="M103" i="1"/>
  <c r="B104" i="1"/>
  <c r="C103" i="1"/>
  <c r="AC103" i="1"/>
  <c r="F102" i="1"/>
  <c r="AC104" i="1" l="1"/>
  <c r="B105" i="1"/>
  <c r="M104" i="1"/>
  <c r="L107" i="1"/>
  <c r="AB107" i="1" s="1"/>
  <c r="A108" i="1"/>
  <c r="O103" i="1"/>
  <c r="AE103" i="1"/>
  <c r="F103" i="1"/>
  <c r="AC105" i="1" l="1"/>
  <c r="B106" i="1"/>
  <c r="M105" i="1"/>
  <c r="A109" i="1"/>
  <c r="L108" i="1"/>
  <c r="AB108" i="1" s="1"/>
  <c r="C104" i="1"/>
  <c r="O104" i="1" l="1"/>
  <c r="AE104" i="1"/>
  <c r="F104" i="1"/>
  <c r="B107" i="1"/>
  <c r="M106" i="1"/>
  <c r="AC106" i="1"/>
  <c r="C105" i="1"/>
  <c r="A110" i="1"/>
  <c r="L109" i="1"/>
  <c r="AB109" i="1" s="1"/>
  <c r="L110" i="1" l="1"/>
  <c r="AB110" i="1" s="1"/>
  <c r="A111" i="1"/>
  <c r="O105" i="1"/>
  <c r="AE105" i="1"/>
  <c r="M107" i="1"/>
  <c r="C107" i="1"/>
  <c r="B108" i="1"/>
  <c r="AC107" i="1"/>
  <c r="F105" i="1"/>
  <c r="C106" i="1"/>
  <c r="AC108" i="1" l="1"/>
  <c r="C108" i="1"/>
  <c r="F108" i="1" s="1"/>
  <c r="M108" i="1"/>
  <c r="B109" i="1"/>
  <c r="AE106" i="1"/>
  <c r="F107" i="1"/>
  <c r="O106" i="1"/>
  <c r="O107" i="1"/>
  <c r="AE107" i="1"/>
  <c r="F106" i="1"/>
  <c r="A112" i="1"/>
  <c r="L111" i="1"/>
  <c r="AB111" i="1" s="1"/>
  <c r="L112" i="1" l="1"/>
  <c r="AB112" i="1" s="1"/>
  <c r="A113" i="1"/>
  <c r="M109" i="1"/>
  <c r="B110" i="1"/>
  <c r="AC109" i="1"/>
  <c r="C109" i="1"/>
  <c r="O108" i="1"/>
  <c r="AE108" i="1"/>
  <c r="A114" i="1" l="1"/>
  <c r="L113" i="1"/>
  <c r="AB113" i="1" s="1"/>
  <c r="B111" i="1"/>
  <c r="C110" i="1"/>
  <c r="F110" i="1" s="1"/>
  <c r="M110" i="1"/>
  <c r="AC110" i="1"/>
  <c r="O109" i="1"/>
  <c r="AE109" i="1"/>
  <c r="F109" i="1"/>
  <c r="M111" i="1" l="1"/>
  <c r="B112" i="1"/>
  <c r="C111" i="1" s="1"/>
  <c r="AC111" i="1"/>
  <c r="AE110" i="1"/>
  <c r="O110" i="1"/>
  <c r="L114" i="1"/>
  <c r="AB114" i="1" s="1"/>
  <c r="A115" i="1"/>
  <c r="O111" i="1" l="1"/>
  <c r="AE111" i="1"/>
  <c r="F111" i="1"/>
  <c r="AC112" i="1"/>
  <c r="B113" i="1"/>
  <c r="M112" i="1"/>
  <c r="L115" i="1"/>
  <c r="AB115" i="1" s="1"/>
  <c r="A116" i="1"/>
  <c r="AC113" i="1" l="1"/>
  <c r="C113" i="1"/>
  <c r="B114" i="1"/>
  <c r="M113" i="1"/>
  <c r="A117" i="1"/>
  <c r="L116" i="1"/>
  <c r="AB116" i="1" s="1"/>
  <c r="C112" i="1"/>
  <c r="L117" i="1" l="1"/>
  <c r="AB117" i="1" s="1"/>
  <c r="A118" i="1"/>
  <c r="F113" i="1"/>
  <c r="O112" i="1"/>
  <c r="AE112" i="1"/>
  <c r="F112" i="1"/>
  <c r="B115" i="1"/>
  <c r="M114" i="1"/>
  <c r="AC114" i="1"/>
  <c r="O113" i="1"/>
  <c r="AE113" i="1"/>
  <c r="L118" i="1" l="1"/>
  <c r="A119" i="1"/>
  <c r="M115" i="1"/>
  <c r="B116" i="1"/>
  <c r="AC115" i="1"/>
  <c r="C114" i="1"/>
  <c r="B117" i="1" l="1"/>
  <c r="AC116" i="1"/>
  <c r="C116" i="1"/>
  <c r="M116" i="1"/>
  <c r="AE114" i="1"/>
  <c r="O114" i="1"/>
  <c r="F114" i="1"/>
  <c r="L119" i="1"/>
  <c r="A120" i="1"/>
  <c r="C115" i="1"/>
  <c r="AB118" i="1"/>
  <c r="M118" i="1"/>
  <c r="O118" i="1"/>
  <c r="AB119" i="1" l="1"/>
  <c r="M119" i="1"/>
  <c r="O119" i="1"/>
  <c r="C117" i="1"/>
  <c r="AC117" i="1"/>
  <c r="M117" i="1"/>
  <c r="I117" i="1"/>
  <c r="J117" i="1" s="1"/>
  <c r="H117" i="1"/>
  <c r="AE118" i="1"/>
  <c r="AC118" i="1"/>
  <c r="AE115" i="1"/>
  <c r="F116" i="1"/>
  <c r="O115" i="1"/>
  <c r="O116" i="1"/>
  <c r="AE116" i="1"/>
  <c r="A121" i="1"/>
  <c r="L120" i="1"/>
  <c r="F115" i="1"/>
  <c r="AB120" i="1" l="1"/>
  <c r="M120" i="1"/>
  <c r="O120" i="1"/>
  <c r="AC119" i="1"/>
  <c r="AE119" i="1"/>
  <c r="L121" i="1"/>
  <c r="A122" i="1"/>
  <c r="I116" i="1"/>
  <c r="J116" i="1" s="1"/>
  <c r="H116" i="1"/>
  <c r="AE117" i="1"/>
  <c r="O117" i="1"/>
  <c r="H115" i="1" l="1"/>
  <c r="I115" i="1"/>
  <c r="J115" i="1" s="1"/>
  <c r="AE120" i="1"/>
  <c r="AC120" i="1"/>
  <c r="A123" i="1"/>
  <c r="L122" i="1"/>
  <c r="AB121" i="1"/>
  <c r="O121" i="1"/>
  <c r="M121" i="1"/>
  <c r="A124" i="1" l="1"/>
  <c r="L123" i="1"/>
  <c r="AC121" i="1"/>
  <c r="AE121" i="1"/>
  <c r="AB122" i="1"/>
  <c r="O122" i="1"/>
  <c r="M122" i="1"/>
  <c r="H114" i="1"/>
  <c r="I114" i="1"/>
  <c r="J114" i="1" s="1"/>
  <c r="AB123" i="1" l="1"/>
  <c r="M123" i="1"/>
  <c r="O123" i="1"/>
  <c r="H113" i="1"/>
  <c r="I113" i="1"/>
  <c r="J113" i="1" s="1"/>
  <c r="AC122" i="1"/>
  <c r="AE122" i="1"/>
  <c r="L124" i="1"/>
  <c r="A125" i="1"/>
  <c r="A126" i="1" l="1"/>
  <c r="L125" i="1"/>
  <c r="AC123" i="1"/>
  <c r="AE123" i="1"/>
  <c r="AB124" i="1"/>
  <c r="M124" i="1"/>
  <c r="O124" i="1"/>
  <c r="I112" i="1"/>
  <c r="J112" i="1" s="1"/>
  <c r="H112" i="1"/>
  <c r="AB125" i="1" l="1"/>
  <c r="O125" i="1"/>
  <c r="M125" i="1"/>
  <c r="H111" i="1"/>
  <c r="I111" i="1"/>
  <c r="J111" i="1" s="1"/>
  <c r="AE124" i="1"/>
  <c r="AC124" i="1"/>
  <c r="L126" i="1"/>
  <c r="A127" i="1"/>
  <c r="A128" i="1" l="1"/>
  <c r="L127" i="1"/>
  <c r="AE125" i="1"/>
  <c r="AC125" i="1"/>
  <c r="AB126" i="1"/>
  <c r="M126" i="1"/>
  <c r="O126" i="1"/>
  <c r="H110" i="1"/>
  <c r="I110" i="1"/>
  <c r="J110" i="1" s="1"/>
  <c r="AB127" i="1" l="1"/>
  <c r="M127" i="1"/>
  <c r="O127" i="1"/>
  <c r="I109" i="1"/>
  <c r="J109" i="1" s="1"/>
  <c r="H109" i="1"/>
  <c r="AC126" i="1"/>
  <c r="AE126" i="1"/>
  <c r="A129" i="1"/>
  <c r="L128" i="1"/>
  <c r="L129" i="1" l="1"/>
  <c r="A130" i="1"/>
  <c r="L130" i="1" s="1"/>
  <c r="AB128" i="1"/>
  <c r="M128" i="1"/>
  <c r="O128" i="1"/>
  <c r="I108" i="1"/>
  <c r="J108" i="1" s="1"/>
  <c r="H108" i="1"/>
  <c r="AE127" i="1"/>
  <c r="AC127" i="1"/>
  <c r="AE128" i="1" l="1"/>
  <c r="AC128" i="1"/>
  <c r="H107" i="1"/>
  <c r="I107" i="1"/>
  <c r="J107" i="1" s="1"/>
  <c r="AB130" i="1"/>
  <c r="O130" i="1"/>
  <c r="P130" i="1" s="1"/>
  <c r="M130" i="1"/>
  <c r="N130" i="1" s="1"/>
  <c r="AB129" i="1"/>
  <c r="O129" i="1"/>
  <c r="M129" i="1"/>
  <c r="P129" i="1" l="1"/>
  <c r="P128" i="1" s="1"/>
  <c r="P127" i="1" s="1"/>
  <c r="P126" i="1" s="1"/>
  <c r="P125" i="1" s="1"/>
  <c r="P124" i="1" s="1"/>
  <c r="P123" i="1" s="1"/>
  <c r="P122" i="1" s="1"/>
  <c r="P121" i="1" s="1"/>
  <c r="P120" i="1" s="1"/>
  <c r="AI120" i="1" s="1"/>
  <c r="AJ120" i="1" s="1"/>
  <c r="AC130" i="1"/>
  <c r="AD130" i="1" s="1"/>
  <c r="AE130" i="1"/>
  <c r="AF130" i="1" s="1"/>
  <c r="AC129" i="1"/>
  <c r="AE129" i="1"/>
  <c r="N129" i="1"/>
  <c r="N128" i="1" s="1"/>
  <c r="N127" i="1" s="1"/>
  <c r="N126" i="1" s="1"/>
  <c r="N125" i="1" s="1"/>
  <c r="N124" i="1" s="1"/>
  <c r="N123" i="1" s="1"/>
  <c r="N122" i="1" s="1"/>
  <c r="N121" i="1" s="1"/>
  <c r="N120" i="1" s="1"/>
  <c r="H106" i="1"/>
  <c r="I106" i="1"/>
  <c r="J106" i="1" s="1"/>
  <c r="P119" i="1" l="1"/>
  <c r="AI119" i="1" s="1"/>
  <c r="AJ119" i="1" s="1"/>
  <c r="P118" i="1"/>
  <c r="H105" i="1"/>
  <c r="I105" i="1"/>
  <c r="J105" i="1" s="1"/>
  <c r="AF129" i="1"/>
  <c r="AF128" i="1" s="1"/>
  <c r="AF127" i="1" s="1"/>
  <c r="AF126" i="1" s="1"/>
  <c r="AF125" i="1" s="1"/>
  <c r="AF124" i="1" s="1"/>
  <c r="AF123" i="1" s="1"/>
  <c r="AF122" i="1" s="1"/>
  <c r="AF121" i="1" s="1"/>
  <c r="AF120" i="1" s="1"/>
  <c r="N119" i="1"/>
  <c r="AH120" i="1"/>
  <c r="AK120" i="1" s="1"/>
  <c r="AD129" i="1"/>
  <c r="AD128" i="1" s="1"/>
  <c r="AD127" i="1" s="1"/>
  <c r="AD126" i="1" s="1"/>
  <c r="AD125" i="1" s="1"/>
  <c r="AD124" i="1" s="1"/>
  <c r="AD123" i="1" s="1"/>
  <c r="AD122" i="1" s="1"/>
  <c r="AD121" i="1" s="1"/>
  <c r="AD120" i="1" s="1"/>
  <c r="AD119" i="1" s="1"/>
  <c r="AD118" i="1" s="1"/>
  <c r="AD117" i="1" s="1"/>
  <c r="AD116" i="1" s="1"/>
  <c r="AD115" i="1" s="1"/>
  <c r="AD114" i="1" s="1"/>
  <c r="AD113" i="1" s="1"/>
  <c r="AD112" i="1" s="1"/>
  <c r="AD111" i="1" s="1"/>
  <c r="AD110" i="1" s="1"/>
  <c r="AD109" i="1" s="1"/>
  <c r="AD108" i="1" s="1"/>
  <c r="AD107" i="1" s="1"/>
  <c r="AD106" i="1" s="1"/>
  <c r="AD105" i="1" s="1"/>
  <c r="AD104" i="1" s="1"/>
  <c r="AD103" i="1" s="1"/>
  <c r="AD102" i="1" s="1"/>
  <c r="AD101" i="1" s="1"/>
  <c r="AD100" i="1" s="1"/>
  <c r="AD99" i="1" s="1"/>
  <c r="AD98" i="1" s="1"/>
  <c r="AD97" i="1" s="1"/>
  <c r="AD96" i="1" s="1"/>
  <c r="AD95" i="1" s="1"/>
  <c r="AD94" i="1" s="1"/>
  <c r="AD93" i="1" s="1"/>
  <c r="AD92" i="1" s="1"/>
  <c r="AD91" i="1" s="1"/>
  <c r="AD90" i="1" s="1"/>
  <c r="AD89" i="1" s="1"/>
  <c r="AD88" i="1" s="1"/>
  <c r="AD87" i="1" s="1"/>
  <c r="AD86" i="1" s="1"/>
  <c r="AD85" i="1" s="1"/>
  <c r="AD84" i="1" s="1"/>
  <c r="AD83" i="1" s="1"/>
  <c r="AD82" i="1" s="1"/>
  <c r="AD81" i="1" s="1"/>
  <c r="AD80" i="1" s="1"/>
  <c r="AD79" i="1" s="1"/>
  <c r="AD78" i="1" s="1"/>
  <c r="AD77" i="1" s="1"/>
  <c r="AD76" i="1" s="1"/>
  <c r="AD75" i="1" s="1"/>
  <c r="AD74" i="1" s="1"/>
  <c r="AD73" i="1" s="1"/>
  <c r="AD72" i="1" s="1"/>
  <c r="AD71" i="1" s="1"/>
  <c r="AD70" i="1" s="1"/>
  <c r="AD69" i="1" s="1"/>
  <c r="AD68" i="1" s="1"/>
  <c r="AD67" i="1" s="1"/>
  <c r="AD66" i="1" s="1"/>
  <c r="AD65" i="1" s="1"/>
  <c r="AD64" i="1" s="1"/>
  <c r="AD63" i="1" s="1"/>
  <c r="AD62" i="1" s="1"/>
  <c r="AD61" i="1" s="1"/>
  <c r="AD60" i="1" s="1"/>
  <c r="AD59" i="1" s="1"/>
  <c r="AD58" i="1" s="1"/>
  <c r="AD57" i="1" s="1"/>
  <c r="AD56" i="1" s="1"/>
  <c r="AD55" i="1" s="1"/>
  <c r="AD54" i="1" s="1"/>
  <c r="AD53" i="1" s="1"/>
  <c r="AD52" i="1" s="1"/>
  <c r="AD51" i="1" s="1"/>
  <c r="AD50" i="1" s="1"/>
  <c r="AD49" i="1" s="1"/>
  <c r="AD48" i="1" s="1"/>
  <c r="AD47" i="1" s="1"/>
  <c r="AD46" i="1" s="1"/>
  <c r="AD45" i="1" s="1"/>
  <c r="AD44" i="1" s="1"/>
  <c r="AD43" i="1" s="1"/>
  <c r="AD42" i="1" s="1"/>
  <c r="AD41" i="1" s="1"/>
  <c r="AD40" i="1" s="1"/>
  <c r="AD39" i="1" s="1"/>
  <c r="AD38" i="1" s="1"/>
  <c r="AD37" i="1" s="1"/>
  <c r="AD36" i="1" s="1"/>
  <c r="AD35" i="1" s="1"/>
  <c r="AD34" i="1" s="1"/>
  <c r="AD33" i="1" s="1"/>
  <c r="AD32" i="1" s="1"/>
  <c r="AD31" i="1" s="1"/>
  <c r="AD30" i="1" s="1"/>
  <c r="AD29" i="1" s="1"/>
  <c r="AD28" i="1" s="1"/>
  <c r="AD27" i="1" s="1"/>
  <c r="AD26" i="1" s="1"/>
  <c r="AD25" i="1" s="1"/>
  <c r="AD24" i="1" s="1"/>
  <c r="AD23" i="1" s="1"/>
  <c r="AD22" i="1" s="1"/>
  <c r="AD21" i="1" s="1"/>
  <c r="AD20" i="1" s="1"/>
  <c r="AD19" i="1" s="1"/>
  <c r="AD18" i="1" s="1"/>
  <c r="AD17" i="1" s="1"/>
  <c r="AD16" i="1" s="1"/>
  <c r="AD15" i="1" s="1"/>
  <c r="AD14" i="1" s="1"/>
  <c r="AD13" i="1" s="1"/>
  <c r="AD12" i="1" s="1"/>
  <c r="AD11" i="1" s="1"/>
  <c r="AD10" i="1" s="1"/>
  <c r="I104" i="1" l="1"/>
  <c r="J104" i="1" s="1"/>
  <c r="H104" i="1"/>
  <c r="AH119" i="1"/>
  <c r="AK119" i="1" s="1"/>
  <c r="N118" i="1"/>
  <c r="AL120" i="1"/>
  <c r="AF119" i="1"/>
  <c r="P117" i="1"/>
  <c r="AI118" i="1"/>
  <c r="AJ118" i="1" s="1"/>
  <c r="AM120" i="1" l="1"/>
  <c r="AN120" i="1"/>
  <c r="AO120" i="1" s="1"/>
  <c r="AP120" i="1" s="1"/>
  <c r="AH118" i="1"/>
  <c r="AK118" i="1" s="1"/>
  <c r="N117" i="1"/>
  <c r="AI117" i="1"/>
  <c r="AJ117" i="1" s="1"/>
  <c r="P116" i="1"/>
  <c r="AL119" i="1"/>
  <c r="AF118" i="1"/>
  <c r="H103" i="1"/>
  <c r="I103" i="1"/>
  <c r="J103" i="1" s="1"/>
  <c r="H102" i="1" l="1"/>
  <c r="I102" i="1"/>
  <c r="J102" i="1" s="1"/>
  <c r="AL118" i="1"/>
  <c r="AF117" i="1"/>
  <c r="N116" i="1"/>
  <c r="AH117" i="1"/>
  <c r="AK117" i="1" s="1"/>
  <c r="AN119" i="1"/>
  <c r="AO119" i="1" s="1"/>
  <c r="AP119" i="1" s="1"/>
  <c r="AM119" i="1"/>
  <c r="P115" i="1"/>
  <c r="AI116" i="1"/>
  <c r="AJ116" i="1" s="1"/>
  <c r="AN118" i="1" l="1"/>
  <c r="AO118" i="1" s="1"/>
  <c r="AP118" i="1" s="1"/>
  <c r="AM118" i="1"/>
  <c r="P114" i="1"/>
  <c r="AI115" i="1"/>
  <c r="AJ115" i="1" s="1"/>
  <c r="AH116" i="1"/>
  <c r="AK116" i="1" s="1"/>
  <c r="N115" i="1"/>
  <c r="I101" i="1"/>
  <c r="J101" i="1" s="1"/>
  <c r="H101" i="1"/>
  <c r="AL117" i="1"/>
  <c r="AF116" i="1"/>
  <c r="I100" i="1" l="1"/>
  <c r="J100" i="1" s="1"/>
  <c r="H100" i="1"/>
  <c r="AN117" i="1"/>
  <c r="AO117" i="1" s="1"/>
  <c r="AP117" i="1" s="1"/>
  <c r="AM117" i="1"/>
  <c r="AI114" i="1"/>
  <c r="AJ114" i="1" s="1"/>
  <c r="P113" i="1"/>
  <c r="AF115" i="1"/>
  <c r="AL116" i="1"/>
  <c r="N114" i="1"/>
  <c r="AH115" i="1"/>
  <c r="AK115" i="1" s="1"/>
  <c r="AM116" i="1" l="1"/>
  <c r="AN116" i="1"/>
  <c r="AO116" i="1" s="1"/>
  <c r="AP116" i="1" s="1"/>
  <c r="N113" i="1"/>
  <c r="AH114" i="1"/>
  <c r="AK114" i="1" s="1"/>
  <c r="AL115" i="1"/>
  <c r="AF114" i="1"/>
  <c r="AI113" i="1"/>
  <c r="AJ113" i="1" s="1"/>
  <c r="P112" i="1"/>
  <c r="H99" i="1"/>
  <c r="I99" i="1"/>
  <c r="J99" i="1" s="1"/>
  <c r="P111" i="1" l="1"/>
  <c r="AI112" i="1"/>
  <c r="AJ112" i="1" s="1"/>
  <c r="N112" i="1"/>
  <c r="AH113" i="1"/>
  <c r="AK113" i="1" s="1"/>
  <c r="AL114" i="1"/>
  <c r="AF113" i="1"/>
  <c r="H98" i="1"/>
  <c r="I98" i="1"/>
  <c r="J98" i="1" s="1"/>
  <c r="AN115" i="1"/>
  <c r="AO115" i="1" s="1"/>
  <c r="AP115" i="1" s="1"/>
  <c r="AM115" i="1"/>
  <c r="H97" i="1" l="1"/>
  <c r="I97" i="1"/>
  <c r="J97" i="1" s="1"/>
  <c r="AH112" i="1"/>
  <c r="AK112" i="1" s="1"/>
  <c r="N111" i="1"/>
  <c r="AF112" i="1"/>
  <c r="AL113" i="1"/>
  <c r="AN114" i="1"/>
  <c r="AO114" i="1" s="1"/>
  <c r="AP114" i="1" s="1"/>
  <c r="AM114" i="1"/>
  <c r="P110" i="1"/>
  <c r="AI111" i="1"/>
  <c r="AJ111" i="1" s="1"/>
  <c r="AH111" i="1" l="1"/>
  <c r="AK111" i="1" s="1"/>
  <c r="N110" i="1"/>
  <c r="AM113" i="1"/>
  <c r="AN113" i="1"/>
  <c r="AO113" i="1" s="1"/>
  <c r="AP113" i="1" s="1"/>
  <c r="AI110" i="1"/>
  <c r="AJ110" i="1" s="1"/>
  <c r="P109" i="1"/>
  <c r="AL112" i="1"/>
  <c r="AF111" i="1"/>
  <c r="H96" i="1"/>
  <c r="I96" i="1"/>
  <c r="J96" i="1" s="1"/>
  <c r="AM112" i="1" l="1"/>
  <c r="AN112" i="1"/>
  <c r="AO112" i="1" s="1"/>
  <c r="AP112" i="1" s="1"/>
  <c r="AF110" i="1"/>
  <c r="AL111" i="1"/>
  <c r="AI109" i="1"/>
  <c r="AJ109" i="1" s="1"/>
  <c r="P108" i="1"/>
  <c r="AH110" i="1"/>
  <c r="AK110" i="1" s="1"/>
  <c r="N109" i="1"/>
  <c r="H95" i="1"/>
  <c r="I95" i="1"/>
  <c r="J95" i="1" s="1"/>
  <c r="AF109" i="1" l="1"/>
  <c r="AL110" i="1"/>
  <c r="N108" i="1"/>
  <c r="AH109" i="1"/>
  <c r="AK109" i="1" s="1"/>
  <c r="AM111" i="1"/>
  <c r="AN111" i="1"/>
  <c r="AO111" i="1" s="1"/>
  <c r="AP111" i="1" s="1"/>
  <c r="AI108" i="1"/>
  <c r="AJ108" i="1" s="1"/>
  <c r="P107" i="1"/>
  <c r="I94" i="1"/>
  <c r="J94" i="1" s="1"/>
  <c r="H94" i="1"/>
  <c r="P106" i="1" l="1"/>
  <c r="AI107" i="1"/>
  <c r="AJ107" i="1" s="1"/>
  <c r="AH108" i="1"/>
  <c r="AK108" i="1" s="1"/>
  <c r="N107" i="1"/>
  <c r="AN110" i="1"/>
  <c r="AO110" i="1" s="1"/>
  <c r="AP110" i="1" s="1"/>
  <c r="AM110" i="1"/>
  <c r="H93" i="1"/>
  <c r="I93" i="1"/>
  <c r="J93" i="1" s="1"/>
  <c r="AL109" i="1"/>
  <c r="AF108" i="1"/>
  <c r="H92" i="1" l="1"/>
  <c r="I92" i="1"/>
  <c r="J92" i="1" s="1"/>
  <c r="N106" i="1"/>
  <c r="AH107" i="1"/>
  <c r="AK107" i="1" s="1"/>
  <c r="AL108" i="1"/>
  <c r="AF107" i="1"/>
  <c r="AM109" i="1"/>
  <c r="AN109" i="1"/>
  <c r="AO109" i="1" s="1"/>
  <c r="AP109" i="1" s="1"/>
  <c r="AI106" i="1"/>
  <c r="AJ106" i="1" s="1"/>
  <c r="P105" i="1"/>
  <c r="AI105" i="1" l="1"/>
  <c r="AJ105" i="1" s="1"/>
  <c r="P104" i="1"/>
  <c r="AF106" i="1"/>
  <c r="AL107" i="1"/>
  <c r="AN108" i="1"/>
  <c r="AO108" i="1" s="1"/>
  <c r="AP108" i="1" s="1"/>
  <c r="AM108" i="1"/>
  <c r="N105" i="1"/>
  <c r="AH106" i="1"/>
  <c r="AK106" i="1" s="1"/>
  <c r="I91" i="1"/>
  <c r="J91" i="1" s="1"/>
  <c r="H91" i="1"/>
  <c r="AN107" i="1" l="1"/>
  <c r="AO107" i="1" s="1"/>
  <c r="AP107" i="1" s="1"/>
  <c r="AM107" i="1"/>
  <c r="N104" i="1"/>
  <c r="AH105" i="1"/>
  <c r="AK105" i="1" s="1"/>
  <c r="AL106" i="1"/>
  <c r="AF105" i="1"/>
  <c r="I90" i="1"/>
  <c r="J90" i="1" s="1"/>
  <c r="H90" i="1"/>
  <c r="P103" i="1"/>
  <c r="AI104" i="1"/>
  <c r="AJ104" i="1" s="1"/>
  <c r="AN106" i="1" l="1"/>
  <c r="AO106" i="1" s="1"/>
  <c r="AP106" i="1" s="1"/>
  <c r="AM106" i="1"/>
  <c r="H89" i="1"/>
  <c r="I89" i="1"/>
  <c r="J89" i="1" s="1"/>
  <c r="P102" i="1"/>
  <c r="AI103" i="1"/>
  <c r="AJ103" i="1" s="1"/>
  <c r="AH104" i="1"/>
  <c r="AK104" i="1" s="1"/>
  <c r="N103" i="1"/>
  <c r="AF104" i="1"/>
  <c r="AL105" i="1"/>
  <c r="AL104" i="1" l="1"/>
  <c r="AF103" i="1"/>
  <c r="AI102" i="1"/>
  <c r="AJ102" i="1" s="1"/>
  <c r="P101" i="1"/>
  <c r="AH103" i="1"/>
  <c r="AK103" i="1" s="1"/>
  <c r="N102" i="1"/>
  <c r="I88" i="1"/>
  <c r="J88" i="1" s="1"/>
  <c r="H88" i="1"/>
  <c r="AM105" i="1"/>
  <c r="AN105" i="1"/>
  <c r="AO105" i="1" s="1"/>
  <c r="AP105" i="1" s="1"/>
  <c r="H87" i="1" l="1"/>
  <c r="I87" i="1"/>
  <c r="J87" i="1" s="1"/>
  <c r="AI101" i="1"/>
  <c r="AJ101" i="1" s="1"/>
  <c r="P100" i="1"/>
  <c r="AH102" i="1"/>
  <c r="AK102" i="1" s="1"/>
  <c r="N101" i="1"/>
  <c r="AF102" i="1"/>
  <c r="AL103" i="1"/>
  <c r="AM104" i="1"/>
  <c r="AN104" i="1"/>
  <c r="AO104" i="1" s="1"/>
  <c r="AP104" i="1" s="1"/>
  <c r="AM103" i="1" l="1"/>
  <c r="AN103" i="1"/>
  <c r="AO103" i="1" s="1"/>
  <c r="AP103" i="1" s="1"/>
  <c r="AI100" i="1"/>
  <c r="AJ100" i="1" s="1"/>
  <c r="P99" i="1"/>
  <c r="N100" i="1"/>
  <c r="AH101" i="1"/>
  <c r="AK101" i="1" s="1"/>
  <c r="AF101" i="1"/>
  <c r="AL102" i="1"/>
  <c r="H86" i="1"/>
  <c r="I86" i="1"/>
  <c r="J86" i="1" s="1"/>
  <c r="AN102" i="1" l="1"/>
  <c r="AO102" i="1" s="1"/>
  <c r="AP102" i="1" s="1"/>
  <c r="AM102" i="1"/>
  <c r="P98" i="1"/>
  <c r="AI99" i="1"/>
  <c r="AJ99" i="1" s="1"/>
  <c r="AL101" i="1"/>
  <c r="AF100" i="1"/>
  <c r="H85" i="1"/>
  <c r="I85" i="1"/>
  <c r="J85" i="1" s="1"/>
  <c r="AH100" i="1"/>
  <c r="AK100" i="1" s="1"/>
  <c r="N99" i="1"/>
  <c r="I84" i="1" l="1"/>
  <c r="J84" i="1" s="1"/>
  <c r="H84" i="1"/>
  <c r="AI98" i="1"/>
  <c r="AJ98" i="1" s="1"/>
  <c r="P97" i="1"/>
  <c r="AM101" i="1"/>
  <c r="AN101" i="1"/>
  <c r="AO101" i="1" s="1"/>
  <c r="AP101" i="1" s="1"/>
  <c r="N98" i="1"/>
  <c r="AH99" i="1"/>
  <c r="AK99" i="1" s="1"/>
  <c r="AL100" i="1"/>
  <c r="AF99" i="1"/>
  <c r="AN100" i="1" l="1"/>
  <c r="AO100" i="1" s="1"/>
  <c r="AP100" i="1" s="1"/>
  <c r="AM100" i="1"/>
  <c r="AI97" i="1"/>
  <c r="AJ97" i="1" s="1"/>
  <c r="P96" i="1"/>
  <c r="AF98" i="1"/>
  <c r="AL99" i="1"/>
  <c r="H83" i="1"/>
  <c r="I83" i="1"/>
  <c r="J83" i="1" s="1"/>
  <c r="N97" i="1"/>
  <c r="AH98" i="1"/>
  <c r="AK98" i="1" s="1"/>
  <c r="AN99" i="1" l="1"/>
  <c r="AO99" i="1" s="1"/>
  <c r="AP99" i="1" s="1"/>
  <c r="AM99" i="1"/>
  <c r="P95" i="1"/>
  <c r="AI96" i="1"/>
  <c r="AJ96" i="1" s="1"/>
  <c r="AH97" i="1"/>
  <c r="AK97" i="1" s="1"/>
  <c r="N96" i="1"/>
  <c r="AL98" i="1"/>
  <c r="AF97" i="1"/>
  <c r="I82" i="1"/>
  <c r="J82" i="1" s="1"/>
  <c r="H82" i="1"/>
  <c r="AN98" i="1" l="1"/>
  <c r="AO98" i="1" s="1"/>
  <c r="AP98" i="1" s="1"/>
  <c r="AM98" i="1"/>
  <c r="AI95" i="1"/>
  <c r="AJ95" i="1" s="1"/>
  <c r="P94" i="1"/>
  <c r="AL97" i="1"/>
  <c r="AF96" i="1"/>
  <c r="I81" i="1"/>
  <c r="J81" i="1" s="1"/>
  <c r="H81" i="1"/>
  <c r="AH96" i="1"/>
  <c r="AK96" i="1" s="1"/>
  <c r="N95" i="1"/>
  <c r="AM97" i="1" l="1"/>
  <c r="AN97" i="1"/>
  <c r="AO97" i="1" s="1"/>
  <c r="AP97" i="1" s="1"/>
  <c r="I80" i="1"/>
  <c r="J80" i="1" s="1"/>
  <c r="H80" i="1"/>
  <c r="P93" i="1"/>
  <c r="AI94" i="1"/>
  <c r="AJ94" i="1" s="1"/>
  <c r="N94" i="1"/>
  <c r="AH95" i="1"/>
  <c r="AK95" i="1" s="1"/>
  <c r="AL96" i="1"/>
  <c r="AF95" i="1"/>
  <c r="AF94" i="1" l="1"/>
  <c r="AL95" i="1"/>
  <c r="AN96" i="1"/>
  <c r="AO96" i="1" s="1"/>
  <c r="AP96" i="1" s="1"/>
  <c r="AM96" i="1"/>
  <c r="P92" i="1"/>
  <c r="AI93" i="1"/>
  <c r="AJ93" i="1" s="1"/>
  <c r="H79" i="1"/>
  <c r="I79" i="1"/>
  <c r="J79" i="1" s="1"/>
  <c r="AH94" i="1"/>
  <c r="AK94" i="1" s="1"/>
  <c r="N93" i="1"/>
  <c r="AM95" i="1" l="1"/>
  <c r="AN95" i="1"/>
  <c r="AO95" i="1" s="1"/>
  <c r="AP95" i="1" s="1"/>
  <c r="H78" i="1"/>
  <c r="I78" i="1"/>
  <c r="J78" i="1" s="1"/>
  <c r="AH93" i="1"/>
  <c r="AK93" i="1" s="1"/>
  <c r="N92" i="1"/>
  <c r="AI92" i="1"/>
  <c r="AJ92" i="1" s="1"/>
  <c r="P91" i="1"/>
  <c r="AL94" i="1"/>
  <c r="AF93" i="1"/>
  <c r="AM94" i="1" l="1"/>
  <c r="AN94" i="1"/>
  <c r="AO94" i="1" s="1"/>
  <c r="AP94" i="1" s="1"/>
  <c r="AI91" i="1"/>
  <c r="AJ91" i="1" s="1"/>
  <c r="P90" i="1"/>
  <c r="H77" i="1"/>
  <c r="I77" i="1"/>
  <c r="J77" i="1" s="1"/>
  <c r="AF92" i="1"/>
  <c r="AL93" i="1"/>
  <c r="AH92" i="1"/>
  <c r="AK92" i="1" s="1"/>
  <c r="N91" i="1"/>
  <c r="AI90" i="1" l="1"/>
  <c r="AJ90" i="1" s="1"/>
  <c r="P89" i="1"/>
  <c r="AF91" i="1"/>
  <c r="AL92" i="1"/>
  <c r="AM93" i="1"/>
  <c r="AN93" i="1"/>
  <c r="AO93" i="1" s="1"/>
  <c r="AP93" i="1" s="1"/>
  <c r="N90" i="1"/>
  <c r="AH91" i="1"/>
  <c r="AK91" i="1" s="1"/>
  <c r="I76" i="1"/>
  <c r="J76" i="1" s="1"/>
  <c r="H76" i="1"/>
  <c r="AN92" i="1" l="1"/>
  <c r="AO92" i="1" s="1"/>
  <c r="AP92" i="1" s="1"/>
  <c r="AM92" i="1"/>
  <c r="AH90" i="1"/>
  <c r="AK90" i="1" s="1"/>
  <c r="N89" i="1"/>
  <c r="AL91" i="1"/>
  <c r="AF90" i="1"/>
  <c r="H75" i="1"/>
  <c r="I75" i="1"/>
  <c r="J75" i="1" s="1"/>
  <c r="P88" i="1"/>
  <c r="AI89" i="1"/>
  <c r="AJ89" i="1" s="1"/>
  <c r="N88" i="1" l="1"/>
  <c r="AH89" i="1"/>
  <c r="AK89" i="1" s="1"/>
  <c r="I74" i="1"/>
  <c r="J74" i="1" s="1"/>
  <c r="H74" i="1"/>
  <c r="AI88" i="1"/>
  <c r="AJ88" i="1" s="1"/>
  <c r="P87" i="1"/>
  <c r="AL90" i="1"/>
  <c r="AF89" i="1"/>
  <c r="AM91" i="1"/>
  <c r="AN91" i="1"/>
  <c r="AO91" i="1" s="1"/>
  <c r="AP91" i="1" s="1"/>
  <c r="N87" i="1" l="1"/>
  <c r="AH88" i="1"/>
  <c r="AK88" i="1" s="1"/>
  <c r="AF88" i="1"/>
  <c r="AL89" i="1"/>
  <c r="I73" i="1"/>
  <c r="J73" i="1" s="1"/>
  <c r="H73" i="1"/>
  <c r="AN90" i="1"/>
  <c r="AO90" i="1" s="1"/>
  <c r="AP90" i="1" s="1"/>
  <c r="AM90" i="1"/>
  <c r="P86" i="1"/>
  <c r="AI87" i="1"/>
  <c r="AJ87" i="1" s="1"/>
  <c r="N86" i="1" l="1"/>
  <c r="AH87" i="1"/>
  <c r="AK87" i="1" s="1"/>
  <c r="AN89" i="1"/>
  <c r="AO89" i="1" s="1"/>
  <c r="AP89" i="1" s="1"/>
  <c r="AM89" i="1"/>
  <c r="AF87" i="1"/>
  <c r="AL88" i="1"/>
  <c r="I72" i="1"/>
  <c r="J72" i="1" s="1"/>
  <c r="H72" i="1"/>
  <c r="AI86" i="1"/>
  <c r="AJ86" i="1" s="1"/>
  <c r="P85" i="1"/>
  <c r="AF86" i="1" l="1"/>
  <c r="AL87" i="1"/>
  <c r="N85" i="1"/>
  <c r="AH86" i="1"/>
  <c r="AK86" i="1" s="1"/>
  <c r="H71" i="1"/>
  <c r="I71" i="1"/>
  <c r="J71" i="1" s="1"/>
  <c r="AI85" i="1"/>
  <c r="AJ85" i="1" s="1"/>
  <c r="P84" i="1"/>
  <c r="AN88" i="1"/>
  <c r="AO88" i="1" s="1"/>
  <c r="AP88" i="1" s="1"/>
  <c r="AM88" i="1"/>
  <c r="AF85" i="1" l="1"/>
  <c r="AL86" i="1"/>
  <c r="P83" i="1"/>
  <c r="AI84" i="1"/>
  <c r="AJ84" i="1" s="1"/>
  <c r="H70" i="1"/>
  <c r="I70" i="1"/>
  <c r="J70" i="1" s="1"/>
  <c r="N84" i="1"/>
  <c r="AH85" i="1"/>
  <c r="AK85" i="1" s="1"/>
  <c r="AN87" i="1"/>
  <c r="AO87" i="1" s="1"/>
  <c r="AP87" i="1" s="1"/>
  <c r="AM87" i="1"/>
  <c r="H69" i="1" l="1"/>
  <c r="I69" i="1"/>
  <c r="J69" i="1" s="1"/>
  <c r="AH84" i="1"/>
  <c r="AK84" i="1" s="1"/>
  <c r="N83" i="1"/>
  <c r="P82" i="1"/>
  <c r="AI83" i="1"/>
  <c r="AJ83" i="1" s="1"/>
  <c r="AN86" i="1"/>
  <c r="AO86" i="1" s="1"/>
  <c r="AP86" i="1" s="1"/>
  <c r="AM86" i="1"/>
  <c r="AF84" i="1"/>
  <c r="AL85" i="1"/>
  <c r="AL84" i="1" l="1"/>
  <c r="AF83" i="1"/>
  <c r="P81" i="1"/>
  <c r="AI82" i="1"/>
  <c r="AJ82" i="1" s="1"/>
  <c r="I68" i="1"/>
  <c r="J68" i="1" s="1"/>
  <c r="H68" i="1"/>
  <c r="AH83" i="1"/>
  <c r="AK83" i="1" s="1"/>
  <c r="N82" i="1"/>
  <c r="AM85" i="1"/>
  <c r="AN85" i="1"/>
  <c r="AO85" i="1" s="1"/>
  <c r="AP85" i="1" s="1"/>
  <c r="AH82" i="1" l="1"/>
  <c r="AK82" i="1" s="1"/>
  <c r="N81" i="1"/>
  <c r="AI81" i="1"/>
  <c r="AJ81" i="1" s="1"/>
  <c r="P80" i="1"/>
  <c r="H67" i="1"/>
  <c r="I67" i="1"/>
  <c r="J67" i="1" s="1"/>
  <c r="AL83" i="1"/>
  <c r="AF82" i="1"/>
  <c r="AM84" i="1"/>
  <c r="AN84" i="1"/>
  <c r="AO84" i="1" s="1"/>
  <c r="AP84" i="1" s="1"/>
  <c r="AL82" i="1" l="1"/>
  <c r="AF81" i="1"/>
  <c r="AI80" i="1"/>
  <c r="AJ80" i="1" s="1"/>
  <c r="P79" i="1"/>
  <c r="AM83" i="1"/>
  <c r="AN83" i="1"/>
  <c r="AO83" i="1" s="1"/>
  <c r="AP83" i="1" s="1"/>
  <c r="N80" i="1"/>
  <c r="AH81" i="1"/>
  <c r="AK81" i="1" s="1"/>
  <c r="I66" i="1"/>
  <c r="J66" i="1" s="1"/>
  <c r="H66" i="1"/>
  <c r="P78" i="1" l="1"/>
  <c r="AI79" i="1"/>
  <c r="AJ79" i="1" s="1"/>
  <c r="AH80" i="1"/>
  <c r="AK80" i="1" s="1"/>
  <c r="N79" i="1"/>
  <c r="AL81" i="1"/>
  <c r="AF80" i="1"/>
  <c r="I65" i="1"/>
  <c r="J65" i="1" s="1"/>
  <c r="H65" i="1"/>
  <c r="AN82" i="1"/>
  <c r="AO82" i="1" s="1"/>
  <c r="AP82" i="1" s="1"/>
  <c r="AM82" i="1"/>
  <c r="AM81" i="1" l="1"/>
  <c r="AN81" i="1"/>
  <c r="AO81" i="1" s="1"/>
  <c r="AP81" i="1" s="1"/>
  <c r="AI78" i="1"/>
  <c r="AJ78" i="1" s="1"/>
  <c r="P77" i="1"/>
  <c r="I64" i="1"/>
  <c r="J64" i="1" s="1"/>
  <c r="H64" i="1"/>
  <c r="N78" i="1"/>
  <c r="AH79" i="1"/>
  <c r="AK79" i="1" s="1"/>
  <c r="AL80" i="1"/>
  <c r="AF79" i="1"/>
  <c r="AI77" i="1" l="1"/>
  <c r="AJ77" i="1" s="1"/>
  <c r="P76" i="1"/>
  <c r="AF78" i="1"/>
  <c r="AL79" i="1"/>
  <c r="N77" i="1"/>
  <c r="AH78" i="1"/>
  <c r="AK78" i="1" s="1"/>
  <c r="H63" i="1"/>
  <c r="I63" i="1"/>
  <c r="J63" i="1" s="1"/>
  <c r="AN80" i="1"/>
  <c r="AO80" i="1" s="1"/>
  <c r="AP80" i="1" s="1"/>
  <c r="AM80" i="1"/>
  <c r="AN79" i="1" l="1"/>
  <c r="AO79" i="1" s="1"/>
  <c r="AP79" i="1" s="1"/>
  <c r="AM79" i="1"/>
  <c r="N76" i="1"/>
  <c r="AH77" i="1"/>
  <c r="AK77" i="1" s="1"/>
  <c r="I62" i="1"/>
  <c r="J62" i="1" s="1"/>
  <c r="H62" i="1"/>
  <c r="AF77" i="1"/>
  <c r="AL78" i="1"/>
  <c r="P75" i="1"/>
  <c r="AI76" i="1"/>
  <c r="AJ76" i="1" s="1"/>
  <c r="P74" i="1" l="1"/>
  <c r="AI75" i="1"/>
  <c r="AJ75" i="1" s="1"/>
  <c r="AN78" i="1"/>
  <c r="AO78" i="1" s="1"/>
  <c r="AP78" i="1" s="1"/>
  <c r="AM78" i="1"/>
  <c r="AF76" i="1"/>
  <c r="AL77" i="1"/>
  <c r="AH76" i="1"/>
  <c r="AK76" i="1" s="1"/>
  <c r="N75" i="1"/>
  <c r="H61" i="1"/>
  <c r="I61" i="1"/>
  <c r="J61" i="1" s="1"/>
  <c r="AH75" i="1" l="1"/>
  <c r="AK75" i="1" s="1"/>
  <c r="N74" i="1"/>
  <c r="AM77" i="1"/>
  <c r="AN77" i="1"/>
  <c r="AO77" i="1" s="1"/>
  <c r="AP77" i="1" s="1"/>
  <c r="I60" i="1"/>
  <c r="J60" i="1" s="1"/>
  <c r="H60" i="1"/>
  <c r="AL76" i="1"/>
  <c r="AF75" i="1"/>
  <c r="P73" i="1"/>
  <c r="AI74" i="1"/>
  <c r="AJ74" i="1" s="1"/>
  <c r="AL75" i="1" l="1"/>
  <c r="AF74" i="1"/>
  <c r="H59" i="1"/>
  <c r="I59" i="1"/>
  <c r="J59" i="1" s="1"/>
  <c r="AH74" i="1"/>
  <c r="AK74" i="1" s="1"/>
  <c r="N73" i="1"/>
  <c r="AM76" i="1"/>
  <c r="AN76" i="1"/>
  <c r="AO76" i="1" s="1"/>
  <c r="AP76" i="1" s="1"/>
  <c r="AI73" i="1"/>
  <c r="AJ73" i="1" s="1"/>
  <c r="P72" i="1"/>
  <c r="I58" i="1" l="1"/>
  <c r="J58" i="1" s="1"/>
  <c r="H58" i="1"/>
  <c r="AI72" i="1"/>
  <c r="AJ72" i="1" s="1"/>
  <c r="P71" i="1"/>
  <c r="N72" i="1"/>
  <c r="AH73" i="1"/>
  <c r="AK73" i="1" s="1"/>
  <c r="AL74" i="1"/>
  <c r="AF73" i="1"/>
  <c r="AM75" i="1"/>
  <c r="AN75" i="1"/>
  <c r="AO75" i="1" s="1"/>
  <c r="AP75" i="1" s="1"/>
  <c r="AL73" i="1" l="1"/>
  <c r="AF72" i="1"/>
  <c r="P70" i="1"/>
  <c r="AI71" i="1"/>
  <c r="AJ71" i="1" s="1"/>
  <c r="AN74" i="1"/>
  <c r="AO74" i="1" s="1"/>
  <c r="AP74" i="1" s="1"/>
  <c r="AM74" i="1"/>
  <c r="I57" i="1"/>
  <c r="J57" i="1" s="1"/>
  <c r="H57" i="1"/>
  <c r="AH72" i="1"/>
  <c r="AK72" i="1" s="1"/>
  <c r="N71" i="1"/>
  <c r="I56" i="1" l="1"/>
  <c r="J56" i="1" s="1"/>
  <c r="H56" i="1"/>
  <c r="AI70" i="1"/>
  <c r="AJ70" i="1" s="1"/>
  <c r="P69" i="1"/>
  <c r="N70" i="1"/>
  <c r="AH71" i="1"/>
  <c r="AK71" i="1" s="1"/>
  <c r="AL72" i="1"/>
  <c r="AF71" i="1"/>
  <c r="AM73" i="1"/>
  <c r="AN73" i="1"/>
  <c r="AO73" i="1" s="1"/>
  <c r="AP73" i="1" s="1"/>
  <c r="AI69" i="1" l="1"/>
  <c r="AJ69" i="1" s="1"/>
  <c r="P68" i="1"/>
  <c r="AN72" i="1"/>
  <c r="AO72" i="1" s="1"/>
  <c r="AP72" i="1" s="1"/>
  <c r="AM72" i="1"/>
  <c r="H55" i="1"/>
  <c r="I55" i="1"/>
  <c r="J55" i="1" s="1"/>
  <c r="AF70" i="1"/>
  <c r="AL71" i="1"/>
  <c r="N69" i="1"/>
  <c r="AH70" i="1"/>
  <c r="AK70" i="1" s="1"/>
  <c r="AN71" i="1" l="1"/>
  <c r="AO71" i="1" s="1"/>
  <c r="AP71" i="1" s="1"/>
  <c r="AM71" i="1"/>
  <c r="P67" i="1"/>
  <c r="AI68" i="1"/>
  <c r="AJ68" i="1" s="1"/>
  <c r="AF69" i="1"/>
  <c r="AL70" i="1"/>
  <c r="N68" i="1"/>
  <c r="AH69" i="1"/>
  <c r="AK69" i="1" s="1"/>
  <c r="I54" i="1"/>
  <c r="J54" i="1" s="1"/>
  <c r="H54" i="1"/>
  <c r="AH68" i="1" l="1"/>
  <c r="AK68" i="1" s="1"/>
  <c r="N67" i="1"/>
  <c r="P66" i="1"/>
  <c r="AI67" i="1"/>
  <c r="AJ67" i="1" s="1"/>
  <c r="I53" i="1"/>
  <c r="J53" i="1" s="1"/>
  <c r="H53" i="1"/>
  <c r="AN70" i="1"/>
  <c r="AO70" i="1" s="1"/>
  <c r="AP70" i="1" s="1"/>
  <c r="AM70" i="1"/>
  <c r="AF68" i="1"/>
  <c r="AL69" i="1"/>
  <c r="AM69" i="1" l="1"/>
  <c r="AN69" i="1"/>
  <c r="AO69" i="1" s="1"/>
  <c r="AP69" i="1" s="1"/>
  <c r="AH67" i="1"/>
  <c r="AK67" i="1" s="1"/>
  <c r="N66" i="1"/>
  <c r="P65" i="1"/>
  <c r="AI66" i="1"/>
  <c r="AJ66" i="1" s="1"/>
  <c r="H52" i="1"/>
  <c r="I52" i="1"/>
  <c r="J52" i="1" s="1"/>
  <c r="AL68" i="1"/>
  <c r="AF67" i="1"/>
  <c r="AL67" i="1" l="1"/>
  <c r="AF66" i="1"/>
  <c r="AH66" i="1"/>
  <c r="AK66" i="1" s="1"/>
  <c r="N65" i="1"/>
  <c r="I51" i="1"/>
  <c r="J51" i="1" s="1"/>
  <c r="H51" i="1"/>
  <c r="AM68" i="1"/>
  <c r="AN68" i="1"/>
  <c r="AO68" i="1" s="1"/>
  <c r="AP68" i="1" s="1"/>
  <c r="AI65" i="1"/>
  <c r="AJ65" i="1" s="1"/>
  <c r="P64" i="1"/>
  <c r="N64" i="1" l="1"/>
  <c r="AH65" i="1"/>
  <c r="AK65" i="1" s="1"/>
  <c r="AI64" i="1"/>
  <c r="AJ64" i="1" s="1"/>
  <c r="P63" i="1"/>
  <c r="I50" i="1"/>
  <c r="J50" i="1" s="1"/>
  <c r="H50" i="1"/>
  <c r="AL66" i="1"/>
  <c r="AF65" i="1"/>
  <c r="AM67" i="1"/>
  <c r="AN67" i="1"/>
  <c r="AO67" i="1" s="1"/>
  <c r="AP67" i="1" s="1"/>
  <c r="AN66" i="1" l="1"/>
  <c r="AO66" i="1" s="1"/>
  <c r="AP66" i="1" s="1"/>
  <c r="AM66" i="1"/>
  <c r="AH64" i="1"/>
  <c r="AK64" i="1" s="1"/>
  <c r="N63" i="1"/>
  <c r="AL65" i="1"/>
  <c r="AF64" i="1"/>
  <c r="P62" i="1"/>
  <c r="AI63" i="1"/>
  <c r="AJ63" i="1" s="1"/>
  <c r="I49" i="1"/>
  <c r="J49" i="1" s="1"/>
  <c r="H49" i="1"/>
  <c r="AH63" i="1" l="1"/>
  <c r="AK63" i="1" s="1"/>
  <c r="N62" i="1"/>
  <c r="AM65" i="1"/>
  <c r="AN65" i="1"/>
  <c r="AO65" i="1" s="1"/>
  <c r="AP65" i="1" s="1"/>
  <c r="AI62" i="1"/>
  <c r="AJ62" i="1" s="1"/>
  <c r="P61" i="1"/>
  <c r="H48" i="1"/>
  <c r="I48" i="1"/>
  <c r="J48" i="1" s="1"/>
  <c r="AL64" i="1"/>
  <c r="AF63" i="1"/>
  <c r="AN64" i="1" l="1"/>
  <c r="AO64" i="1" s="1"/>
  <c r="AP64" i="1" s="1"/>
  <c r="AM64" i="1"/>
  <c r="I47" i="1"/>
  <c r="J47" i="1" s="1"/>
  <c r="H47" i="1"/>
  <c r="AL63" i="1"/>
  <c r="AF62" i="1"/>
  <c r="AI61" i="1"/>
  <c r="AJ61" i="1" s="1"/>
  <c r="P60" i="1"/>
  <c r="AH62" i="1"/>
  <c r="AK62" i="1" s="1"/>
  <c r="N61" i="1"/>
  <c r="AI60" i="1" l="1"/>
  <c r="AJ60" i="1" s="1"/>
  <c r="P59" i="1"/>
  <c r="I46" i="1"/>
  <c r="J46" i="1" s="1"/>
  <c r="H46" i="1"/>
  <c r="AH61" i="1"/>
  <c r="AK61" i="1" s="1"/>
  <c r="N60" i="1"/>
  <c r="AL62" i="1"/>
  <c r="AF61" i="1"/>
  <c r="AN63" i="1"/>
  <c r="AO63" i="1" s="1"/>
  <c r="AP63" i="1" s="1"/>
  <c r="AM63" i="1"/>
  <c r="AL61" i="1" l="1"/>
  <c r="AF60" i="1"/>
  <c r="I45" i="1"/>
  <c r="J45" i="1" s="1"/>
  <c r="H45" i="1"/>
  <c r="AN62" i="1"/>
  <c r="AO62" i="1" s="1"/>
  <c r="AP62" i="1" s="1"/>
  <c r="AM62" i="1"/>
  <c r="AH60" i="1"/>
  <c r="AK60" i="1" s="1"/>
  <c r="N59" i="1"/>
  <c r="P58" i="1"/>
  <c r="AI59" i="1"/>
  <c r="AJ59" i="1" s="1"/>
  <c r="AL60" i="1" l="1"/>
  <c r="AF59" i="1"/>
  <c r="N58" i="1"/>
  <c r="AH59" i="1"/>
  <c r="AK59" i="1" s="1"/>
  <c r="H44" i="1"/>
  <c r="I44" i="1"/>
  <c r="J44" i="1" s="1"/>
  <c r="AI58" i="1"/>
  <c r="AJ58" i="1" s="1"/>
  <c r="P57" i="1"/>
  <c r="AM61" i="1"/>
  <c r="AN61" i="1"/>
  <c r="AO61" i="1" s="1"/>
  <c r="AP61" i="1" s="1"/>
  <c r="AI57" i="1" l="1"/>
  <c r="AJ57" i="1" s="1"/>
  <c r="P56" i="1"/>
  <c r="N57" i="1"/>
  <c r="AH58" i="1"/>
  <c r="AK58" i="1" s="1"/>
  <c r="AL59" i="1"/>
  <c r="AF58" i="1"/>
  <c r="I43" i="1"/>
  <c r="J43" i="1" s="1"/>
  <c r="H43" i="1"/>
  <c r="AN60" i="1"/>
  <c r="AO60" i="1" s="1"/>
  <c r="AP60" i="1" s="1"/>
  <c r="AM60" i="1"/>
  <c r="I42" i="1" l="1"/>
  <c r="J42" i="1" s="1"/>
  <c r="H42" i="1"/>
  <c r="N56" i="1"/>
  <c r="AH57" i="1"/>
  <c r="AK57" i="1" s="1"/>
  <c r="AL58" i="1"/>
  <c r="AF57" i="1"/>
  <c r="P55" i="1"/>
  <c r="AI56" i="1"/>
  <c r="AJ56" i="1" s="1"/>
  <c r="AN59" i="1"/>
  <c r="AO59" i="1" s="1"/>
  <c r="AP59" i="1" s="1"/>
  <c r="AM59" i="1"/>
  <c r="P54" i="1" l="1"/>
  <c r="AI55" i="1"/>
  <c r="AJ55" i="1" s="1"/>
  <c r="AH56" i="1"/>
  <c r="AK56" i="1" s="1"/>
  <c r="N55" i="1"/>
  <c r="AL57" i="1"/>
  <c r="AF56" i="1"/>
  <c r="I41" i="1"/>
  <c r="J41" i="1" s="1"/>
  <c r="H41" i="1"/>
  <c r="AN58" i="1"/>
  <c r="AO58" i="1" s="1"/>
  <c r="AP58" i="1" s="1"/>
  <c r="AM58" i="1"/>
  <c r="H40" i="1" l="1"/>
  <c r="I40" i="1"/>
  <c r="J40" i="1" s="1"/>
  <c r="N54" i="1"/>
  <c r="AH55" i="1"/>
  <c r="AK55" i="1" s="1"/>
  <c r="AL56" i="1"/>
  <c r="AF55" i="1"/>
  <c r="AM57" i="1"/>
  <c r="AN57" i="1"/>
  <c r="AO57" i="1" s="1"/>
  <c r="AP57" i="1" s="1"/>
  <c r="AI54" i="1"/>
  <c r="AJ54" i="1" s="1"/>
  <c r="P53" i="1"/>
  <c r="N53" i="1" l="1"/>
  <c r="AH54" i="1"/>
  <c r="AK54" i="1" s="1"/>
  <c r="P52" i="1"/>
  <c r="AI53" i="1"/>
  <c r="AJ53" i="1" s="1"/>
  <c r="AL55" i="1"/>
  <c r="AF54" i="1"/>
  <c r="AN56" i="1"/>
  <c r="AO56" i="1" s="1"/>
  <c r="AP56" i="1" s="1"/>
  <c r="AM56" i="1"/>
  <c r="I39" i="1"/>
  <c r="J39" i="1" s="1"/>
  <c r="H39" i="1"/>
  <c r="P51" i="1" l="1"/>
  <c r="AI52" i="1"/>
  <c r="AJ52" i="1" s="1"/>
  <c r="AL54" i="1"/>
  <c r="AF53" i="1"/>
  <c r="I38" i="1"/>
  <c r="J38" i="1" s="1"/>
  <c r="H38" i="1"/>
  <c r="AN55" i="1"/>
  <c r="AO55" i="1" s="1"/>
  <c r="AP55" i="1" s="1"/>
  <c r="AM55" i="1"/>
  <c r="AH53" i="1"/>
  <c r="AK53" i="1" s="1"/>
  <c r="N52" i="1"/>
  <c r="AN54" i="1" l="1"/>
  <c r="AO54" i="1" s="1"/>
  <c r="AP54" i="1" s="1"/>
  <c r="AM54" i="1"/>
  <c r="AH52" i="1"/>
  <c r="AK52" i="1" s="1"/>
  <c r="N51" i="1"/>
  <c r="AL53" i="1"/>
  <c r="AF52" i="1"/>
  <c r="I37" i="1"/>
  <c r="J37" i="1" s="1"/>
  <c r="H37" i="1"/>
  <c r="AI51" i="1"/>
  <c r="AJ51" i="1" s="1"/>
  <c r="P50" i="1"/>
  <c r="AM53" i="1" l="1"/>
  <c r="AN53" i="1"/>
  <c r="AO53" i="1" s="1"/>
  <c r="AP53" i="1" s="1"/>
  <c r="H36" i="1"/>
  <c r="I36" i="1"/>
  <c r="J36" i="1" s="1"/>
  <c r="N50" i="1"/>
  <c r="AH51" i="1"/>
  <c r="AK51" i="1" s="1"/>
  <c r="AI50" i="1"/>
  <c r="AJ50" i="1" s="1"/>
  <c r="P49" i="1"/>
  <c r="AL52" i="1"/>
  <c r="AF51" i="1"/>
  <c r="I35" i="1" l="1"/>
  <c r="J35" i="1" s="1"/>
  <c r="H35" i="1"/>
  <c r="AL51" i="1"/>
  <c r="AF50" i="1"/>
  <c r="P48" i="1"/>
  <c r="AI49" i="1"/>
  <c r="AJ49" i="1" s="1"/>
  <c r="AN52" i="1"/>
  <c r="AO52" i="1" s="1"/>
  <c r="AP52" i="1" s="1"/>
  <c r="AM52" i="1"/>
  <c r="N49" i="1"/>
  <c r="AH50" i="1"/>
  <c r="AK50" i="1" s="1"/>
  <c r="AL50" i="1" l="1"/>
  <c r="AF49" i="1"/>
  <c r="AN51" i="1"/>
  <c r="AO51" i="1" s="1"/>
  <c r="AP51" i="1" s="1"/>
  <c r="AM51" i="1"/>
  <c r="I34" i="1"/>
  <c r="J34" i="1" s="1"/>
  <c r="H34" i="1"/>
  <c r="AH49" i="1"/>
  <c r="AK49" i="1" s="1"/>
  <c r="N48" i="1"/>
  <c r="P47" i="1"/>
  <c r="AI48" i="1"/>
  <c r="AJ48" i="1" s="1"/>
  <c r="AI47" i="1" l="1"/>
  <c r="AJ47" i="1" s="1"/>
  <c r="P46" i="1"/>
  <c r="AM50" i="1"/>
  <c r="AN50" i="1"/>
  <c r="AO50" i="1" s="1"/>
  <c r="AP50" i="1" s="1"/>
  <c r="AH48" i="1"/>
  <c r="AK48" i="1" s="1"/>
  <c r="N47" i="1"/>
  <c r="I33" i="1"/>
  <c r="J33" i="1" s="1"/>
  <c r="H33" i="1"/>
  <c r="AL49" i="1"/>
  <c r="AF48" i="1"/>
  <c r="AN49" i="1" l="1"/>
  <c r="AO49" i="1" s="1"/>
  <c r="AP49" i="1" s="1"/>
  <c r="AM49" i="1"/>
  <c r="H32" i="1"/>
  <c r="I32" i="1"/>
  <c r="J32" i="1" s="1"/>
  <c r="AL48" i="1"/>
  <c r="AF47" i="1"/>
  <c r="N46" i="1"/>
  <c r="AH47" i="1"/>
  <c r="AK47" i="1" s="1"/>
  <c r="AI46" i="1"/>
  <c r="AJ46" i="1" s="1"/>
  <c r="P45" i="1"/>
  <c r="AN48" i="1" l="1"/>
  <c r="AO48" i="1" s="1"/>
  <c r="AP48" i="1" s="1"/>
  <c r="AM48" i="1"/>
  <c r="N45" i="1"/>
  <c r="AH46" i="1"/>
  <c r="AK46" i="1" s="1"/>
  <c r="I31" i="1"/>
  <c r="J31" i="1" s="1"/>
  <c r="H31" i="1"/>
  <c r="P44" i="1"/>
  <c r="AI45" i="1"/>
  <c r="AJ45" i="1" s="1"/>
  <c r="AL47" i="1"/>
  <c r="AF46" i="1"/>
  <c r="AN47" i="1" l="1"/>
  <c r="AO47" i="1" s="1"/>
  <c r="AP47" i="1" s="1"/>
  <c r="AM47" i="1"/>
  <c r="P43" i="1"/>
  <c r="AI44" i="1"/>
  <c r="AJ44" i="1" s="1"/>
  <c r="AH45" i="1"/>
  <c r="AK45" i="1" s="1"/>
  <c r="N44" i="1"/>
  <c r="AL46" i="1"/>
  <c r="AF45" i="1"/>
  <c r="I30" i="1"/>
  <c r="J30" i="1" s="1"/>
  <c r="H30" i="1"/>
  <c r="AL45" i="1" l="1"/>
  <c r="AF44" i="1"/>
  <c r="AM46" i="1"/>
  <c r="AN46" i="1"/>
  <c r="AO46" i="1" s="1"/>
  <c r="AP46" i="1" s="1"/>
  <c r="AI43" i="1"/>
  <c r="AJ43" i="1" s="1"/>
  <c r="P42" i="1"/>
  <c r="I29" i="1"/>
  <c r="J29" i="1" s="1"/>
  <c r="H29" i="1"/>
  <c r="AH44" i="1"/>
  <c r="AK44" i="1" s="1"/>
  <c r="N43" i="1"/>
  <c r="AN45" i="1" l="1"/>
  <c r="AO45" i="1" s="1"/>
  <c r="AP45" i="1" s="1"/>
  <c r="AM45" i="1"/>
  <c r="H28" i="1"/>
  <c r="I28" i="1"/>
  <c r="J28" i="1" s="1"/>
  <c r="N42" i="1"/>
  <c r="AH43" i="1"/>
  <c r="AK43" i="1" s="1"/>
  <c r="AI42" i="1"/>
  <c r="AJ42" i="1" s="1"/>
  <c r="P41" i="1"/>
  <c r="AL44" i="1"/>
  <c r="AF43" i="1"/>
  <c r="P40" i="1" l="1"/>
  <c r="AI41" i="1"/>
  <c r="AJ41" i="1" s="1"/>
  <c r="I27" i="1"/>
  <c r="J27" i="1" s="1"/>
  <c r="H27" i="1"/>
  <c r="AL43" i="1"/>
  <c r="AF42" i="1"/>
  <c r="AN44" i="1"/>
  <c r="AO44" i="1" s="1"/>
  <c r="AP44" i="1" s="1"/>
  <c r="AM44" i="1"/>
  <c r="N41" i="1"/>
  <c r="AH42" i="1"/>
  <c r="AK42" i="1" s="1"/>
  <c r="I26" i="1" l="1"/>
  <c r="J26" i="1" s="1"/>
  <c r="H26" i="1"/>
  <c r="AL42" i="1"/>
  <c r="AF41" i="1"/>
  <c r="AH41" i="1"/>
  <c r="AK41" i="1" s="1"/>
  <c r="N40" i="1"/>
  <c r="AN43" i="1"/>
  <c r="AO43" i="1" s="1"/>
  <c r="AP43" i="1" s="1"/>
  <c r="AM43" i="1"/>
  <c r="P39" i="1"/>
  <c r="AI40" i="1"/>
  <c r="AJ40" i="1" s="1"/>
  <c r="AL41" i="1" l="1"/>
  <c r="AF40" i="1"/>
  <c r="AM42" i="1"/>
  <c r="AN42" i="1"/>
  <c r="AO42" i="1" s="1"/>
  <c r="AP42" i="1" s="1"/>
  <c r="AH40" i="1"/>
  <c r="AK40" i="1" s="1"/>
  <c r="N39" i="1"/>
  <c r="I25" i="1"/>
  <c r="J25" i="1" s="1"/>
  <c r="H25" i="1"/>
  <c r="AI39" i="1"/>
  <c r="AJ39" i="1" s="1"/>
  <c r="P38" i="1"/>
  <c r="AN41" i="1" l="1"/>
  <c r="AO41" i="1" s="1"/>
  <c r="AP41" i="1" s="1"/>
  <c r="AM41" i="1"/>
  <c r="H24" i="1"/>
  <c r="I24" i="1"/>
  <c r="J24" i="1" s="1"/>
  <c r="AI38" i="1"/>
  <c r="AJ38" i="1" s="1"/>
  <c r="P37" i="1"/>
  <c r="N38" i="1"/>
  <c r="AH39" i="1"/>
  <c r="AK39" i="1" s="1"/>
  <c r="AL40" i="1"/>
  <c r="AF39" i="1"/>
  <c r="N37" i="1" l="1"/>
  <c r="AH38" i="1"/>
  <c r="AK38" i="1" s="1"/>
  <c r="I23" i="1"/>
  <c r="J23" i="1" s="1"/>
  <c r="H23" i="1"/>
  <c r="AL39" i="1"/>
  <c r="AF38" i="1"/>
  <c r="P36" i="1"/>
  <c r="AI37" i="1"/>
  <c r="AJ37" i="1" s="1"/>
  <c r="AN40" i="1"/>
  <c r="AO40" i="1" s="1"/>
  <c r="AP40" i="1" s="1"/>
  <c r="AM40" i="1"/>
  <c r="I22" i="1" l="1"/>
  <c r="J22" i="1" s="1"/>
  <c r="H22" i="1"/>
  <c r="AN39" i="1"/>
  <c r="AO39" i="1" s="1"/>
  <c r="AP39" i="1" s="1"/>
  <c r="AM39" i="1"/>
  <c r="P35" i="1"/>
  <c r="AI36" i="1"/>
  <c r="AJ36" i="1" s="1"/>
  <c r="AL38" i="1"/>
  <c r="AF37" i="1"/>
  <c r="AH37" i="1"/>
  <c r="AK37" i="1" s="1"/>
  <c r="N36" i="1"/>
  <c r="AL37" i="1" l="1"/>
  <c r="AF36" i="1"/>
  <c r="AH36" i="1"/>
  <c r="AK36" i="1" s="1"/>
  <c r="N35" i="1"/>
  <c r="I21" i="1"/>
  <c r="J21" i="1" s="1"/>
  <c r="H21" i="1"/>
  <c r="AM38" i="1"/>
  <c r="AN38" i="1"/>
  <c r="AO38" i="1" s="1"/>
  <c r="AP38" i="1" s="1"/>
  <c r="AI35" i="1"/>
  <c r="AJ35" i="1" s="1"/>
  <c r="P34" i="1"/>
  <c r="N34" i="1" l="1"/>
  <c r="AH35" i="1"/>
  <c r="AK35" i="1" s="1"/>
  <c r="AI34" i="1"/>
  <c r="AJ34" i="1" s="1"/>
  <c r="P33" i="1"/>
  <c r="H20" i="1"/>
  <c r="I20" i="1"/>
  <c r="J20" i="1" s="1"/>
  <c r="AL36" i="1"/>
  <c r="AF35" i="1"/>
  <c r="AN37" i="1"/>
  <c r="AO37" i="1" s="1"/>
  <c r="AP37" i="1" s="1"/>
  <c r="AM37" i="1"/>
  <c r="I19" i="1" l="1"/>
  <c r="J19" i="1" s="1"/>
  <c r="H19" i="1"/>
  <c r="N33" i="1"/>
  <c r="AH34" i="1"/>
  <c r="AK34" i="1" s="1"/>
  <c r="AL35" i="1"/>
  <c r="AF34" i="1"/>
  <c r="P32" i="1"/>
  <c r="AI33" i="1"/>
  <c r="AJ33" i="1" s="1"/>
  <c r="AN36" i="1"/>
  <c r="AO36" i="1" s="1"/>
  <c r="AP36" i="1" s="1"/>
  <c r="AM36" i="1"/>
  <c r="P31" i="1" l="1"/>
  <c r="AI32" i="1"/>
  <c r="AJ32" i="1" s="1"/>
  <c r="AH33" i="1"/>
  <c r="AK33" i="1" s="1"/>
  <c r="N32" i="1"/>
  <c r="AL34" i="1"/>
  <c r="AF33" i="1"/>
  <c r="I18" i="1"/>
  <c r="J18" i="1" s="1"/>
  <c r="H18" i="1"/>
  <c r="AN35" i="1"/>
  <c r="AO35" i="1" s="1"/>
  <c r="AP35" i="1" s="1"/>
  <c r="AM35" i="1"/>
  <c r="I17" i="1" l="1"/>
  <c r="J17" i="1" s="1"/>
  <c r="H17" i="1"/>
  <c r="AH32" i="1"/>
  <c r="AK32" i="1" s="1"/>
  <c r="N31" i="1"/>
  <c r="AL33" i="1"/>
  <c r="AF32" i="1"/>
  <c r="AM34" i="1"/>
  <c r="AN34" i="1"/>
  <c r="AO34" i="1" s="1"/>
  <c r="AP34" i="1" s="1"/>
  <c r="AI31" i="1"/>
  <c r="AJ31" i="1" s="1"/>
  <c r="P30" i="1"/>
  <c r="N30" i="1" l="1"/>
  <c r="AH31" i="1"/>
  <c r="AK31" i="1" s="1"/>
  <c r="AI30" i="1"/>
  <c r="AJ30" i="1" s="1"/>
  <c r="P29" i="1"/>
  <c r="AF31" i="1"/>
  <c r="AL32" i="1"/>
  <c r="I16" i="1"/>
  <c r="J16" i="1" s="1"/>
  <c r="H16" i="1"/>
  <c r="AN33" i="1"/>
  <c r="AO33" i="1" s="1"/>
  <c r="AP33" i="1" s="1"/>
  <c r="AM33" i="1"/>
  <c r="P28" i="1" l="1"/>
  <c r="AI29" i="1"/>
  <c r="AJ29" i="1" s="1"/>
  <c r="H15" i="1"/>
  <c r="I15" i="1"/>
  <c r="J15" i="1" s="1"/>
  <c r="AN32" i="1"/>
  <c r="AO32" i="1" s="1"/>
  <c r="AP32" i="1" s="1"/>
  <c r="AM32" i="1"/>
  <c r="AL31" i="1"/>
  <c r="AF30" i="1"/>
  <c r="N29" i="1"/>
  <c r="AH30" i="1"/>
  <c r="AK30" i="1" s="1"/>
  <c r="AN31" i="1" l="1"/>
  <c r="AO31" i="1" s="1"/>
  <c r="AP31" i="1" s="1"/>
  <c r="AM31" i="1"/>
  <c r="I14" i="1"/>
  <c r="J14" i="1" s="1"/>
  <c r="H14" i="1"/>
  <c r="AL30" i="1"/>
  <c r="AF29" i="1"/>
  <c r="AH29" i="1"/>
  <c r="AK29" i="1" s="1"/>
  <c r="N28" i="1"/>
  <c r="P27" i="1"/>
  <c r="AI28" i="1"/>
  <c r="AJ28" i="1" s="1"/>
  <c r="AH28" i="1" l="1"/>
  <c r="AK28" i="1" s="1"/>
  <c r="N27" i="1"/>
  <c r="I13" i="1"/>
  <c r="J13" i="1" s="1"/>
  <c r="H13" i="1"/>
  <c r="AL29" i="1"/>
  <c r="AF28" i="1"/>
  <c r="AI27" i="1"/>
  <c r="AJ27" i="1" s="1"/>
  <c r="P26" i="1"/>
  <c r="AM30" i="1"/>
  <c r="AN30" i="1"/>
  <c r="AO30" i="1" s="1"/>
  <c r="AP30" i="1" s="1"/>
  <c r="AI26" i="1" l="1"/>
  <c r="AJ26" i="1" s="1"/>
  <c r="P25" i="1"/>
  <c r="I12" i="1"/>
  <c r="J12" i="1" s="1"/>
  <c r="H12" i="1"/>
  <c r="AL28" i="1"/>
  <c r="AF27" i="1"/>
  <c r="N26" i="1"/>
  <c r="AH27" i="1"/>
  <c r="AK27" i="1" s="1"/>
  <c r="AN29" i="1"/>
  <c r="AO29" i="1" s="1"/>
  <c r="AP29" i="1" s="1"/>
  <c r="AM29" i="1"/>
  <c r="AL27" i="1" l="1"/>
  <c r="AF26" i="1"/>
  <c r="P24" i="1"/>
  <c r="AI25" i="1"/>
  <c r="AJ25" i="1" s="1"/>
  <c r="H11" i="1"/>
  <c r="I11" i="1"/>
  <c r="J11" i="1" s="1"/>
  <c r="N25" i="1"/>
  <c r="AH26" i="1"/>
  <c r="AK26" i="1" s="1"/>
  <c r="AN28" i="1"/>
  <c r="AO28" i="1" s="1"/>
  <c r="AP28" i="1" s="1"/>
  <c r="AM28" i="1"/>
  <c r="AH25" i="1" l="1"/>
  <c r="AK25" i="1" s="1"/>
  <c r="N24" i="1"/>
  <c r="P23" i="1"/>
  <c r="AI24" i="1"/>
  <c r="AJ24" i="1" s="1"/>
  <c r="AL26" i="1"/>
  <c r="AF25" i="1"/>
  <c r="I10" i="1"/>
  <c r="J10" i="1" s="1"/>
  <c r="H10" i="1"/>
  <c r="AN27" i="1"/>
  <c r="AO27" i="1" s="1"/>
  <c r="AP27" i="1" s="1"/>
  <c r="AM27" i="1"/>
  <c r="AI23" i="1" l="1"/>
  <c r="AJ23" i="1" s="1"/>
  <c r="P22" i="1"/>
  <c r="AL25" i="1"/>
  <c r="AF24" i="1"/>
  <c r="AH24" i="1"/>
  <c r="AK24" i="1" s="1"/>
  <c r="N23" i="1"/>
  <c r="AM26" i="1"/>
  <c r="AN26" i="1"/>
  <c r="AO26" i="1" s="1"/>
  <c r="AP26" i="1" s="1"/>
  <c r="AL24" i="1" l="1"/>
  <c r="AF23" i="1"/>
  <c r="AN25" i="1"/>
  <c r="AO25" i="1" s="1"/>
  <c r="AP25" i="1" s="1"/>
  <c r="AM25" i="1"/>
  <c r="N22" i="1"/>
  <c r="AH23" i="1"/>
  <c r="AK23" i="1" s="1"/>
  <c r="AI22" i="1"/>
  <c r="AJ22" i="1" s="1"/>
  <c r="P21" i="1"/>
  <c r="P20" i="1" l="1"/>
  <c r="AI21" i="1"/>
  <c r="AJ21" i="1" s="1"/>
  <c r="AL23" i="1"/>
  <c r="AF22" i="1"/>
  <c r="N21" i="1"/>
  <c r="AH22" i="1"/>
  <c r="AK22" i="1" s="1"/>
  <c r="AN24" i="1"/>
  <c r="AO24" i="1" s="1"/>
  <c r="AP24" i="1" s="1"/>
  <c r="AM24" i="1"/>
  <c r="AL22" i="1" l="1"/>
  <c r="AF21" i="1"/>
  <c r="AN23" i="1"/>
  <c r="AO23" i="1" s="1"/>
  <c r="AP23" i="1" s="1"/>
  <c r="AM23" i="1"/>
  <c r="AH21" i="1"/>
  <c r="AK21" i="1" s="1"/>
  <c r="N20" i="1"/>
  <c r="P19" i="1"/>
  <c r="AI20" i="1"/>
  <c r="AJ20" i="1" s="1"/>
  <c r="AI19" i="1" l="1"/>
  <c r="AJ19" i="1" s="1"/>
  <c r="P18" i="1"/>
  <c r="AH20" i="1"/>
  <c r="AK20" i="1" s="1"/>
  <c r="N19" i="1"/>
  <c r="AL21" i="1"/>
  <c r="AF20" i="1"/>
  <c r="AM22" i="1"/>
  <c r="AN22" i="1"/>
  <c r="AO22" i="1" s="1"/>
  <c r="AP22" i="1" s="1"/>
  <c r="N18" i="1" l="1"/>
  <c r="AH19" i="1"/>
  <c r="AK19" i="1" s="1"/>
  <c r="AL20" i="1"/>
  <c r="AF19" i="1"/>
  <c r="AI18" i="1"/>
  <c r="AJ18" i="1" s="1"/>
  <c r="P17" i="1"/>
  <c r="AN21" i="1"/>
  <c r="AO21" i="1" s="1"/>
  <c r="AP21" i="1" s="1"/>
  <c r="AM21" i="1"/>
  <c r="AL19" i="1" l="1"/>
  <c r="AF18" i="1"/>
  <c r="P16" i="1"/>
  <c r="AI17" i="1"/>
  <c r="AJ17" i="1" s="1"/>
  <c r="AN20" i="1"/>
  <c r="AO20" i="1" s="1"/>
  <c r="AP20" i="1" s="1"/>
  <c r="AM20" i="1"/>
  <c r="AH18" i="1"/>
  <c r="AK18" i="1" s="1"/>
  <c r="N17" i="1"/>
  <c r="P15" i="1" l="1"/>
  <c r="AI16" i="1"/>
  <c r="AJ16" i="1" s="1"/>
  <c r="AL18" i="1"/>
  <c r="AF17" i="1"/>
  <c r="AH17" i="1"/>
  <c r="AK17" i="1" s="1"/>
  <c r="N16" i="1"/>
  <c r="AN19" i="1"/>
  <c r="AO19" i="1" s="1"/>
  <c r="AP19" i="1" s="1"/>
  <c r="AM19" i="1"/>
  <c r="AM18" i="1" l="1"/>
  <c r="AN18" i="1"/>
  <c r="AO18" i="1" s="1"/>
  <c r="AP18" i="1" s="1"/>
  <c r="AL17" i="1"/>
  <c r="AF16" i="1"/>
  <c r="AH16" i="1"/>
  <c r="AK16" i="1" s="1"/>
  <c r="N15" i="1"/>
  <c r="P14" i="1"/>
  <c r="AI15" i="1"/>
  <c r="AJ15" i="1" s="1"/>
  <c r="AL16" i="1" l="1"/>
  <c r="AF15" i="1"/>
  <c r="AI14" i="1"/>
  <c r="AJ14" i="1" s="1"/>
  <c r="P13" i="1"/>
  <c r="AN17" i="1"/>
  <c r="AO17" i="1" s="1"/>
  <c r="AP17" i="1" s="1"/>
  <c r="AM17" i="1"/>
  <c r="N14" i="1"/>
  <c r="AH15" i="1"/>
  <c r="AK15" i="1" s="1"/>
  <c r="N13" i="1" l="1"/>
  <c r="AH14" i="1"/>
  <c r="AK14" i="1" s="1"/>
  <c r="AI13" i="1"/>
  <c r="AJ13" i="1" s="1"/>
  <c r="P12" i="1"/>
  <c r="AL15" i="1"/>
  <c r="AF14" i="1"/>
  <c r="AN16" i="1"/>
  <c r="AO16" i="1" s="1"/>
  <c r="AP16" i="1" s="1"/>
  <c r="AM16" i="1"/>
  <c r="P11" i="1" l="1"/>
  <c r="AI12" i="1"/>
  <c r="AJ12" i="1" s="1"/>
  <c r="AL14" i="1"/>
  <c r="AF13" i="1"/>
  <c r="AN15" i="1"/>
  <c r="AO15" i="1" s="1"/>
  <c r="AP15" i="1" s="1"/>
  <c r="AM15" i="1"/>
  <c r="N12" i="1"/>
  <c r="AH13" i="1"/>
  <c r="AK13" i="1" s="1"/>
  <c r="AN14" i="1" l="1"/>
  <c r="AO14" i="1" s="1"/>
  <c r="AP14" i="1" s="1"/>
  <c r="AM14" i="1"/>
  <c r="AH12" i="1"/>
  <c r="AK12" i="1" s="1"/>
  <c r="N11" i="1"/>
  <c r="AL13" i="1"/>
  <c r="AF12" i="1"/>
  <c r="P10" i="1"/>
  <c r="AI10" i="1" s="1"/>
  <c r="AJ10" i="1" s="1"/>
  <c r="AI11" i="1"/>
  <c r="AJ11" i="1" s="1"/>
  <c r="N10" i="1" l="1"/>
  <c r="AH10" i="1" s="1"/>
  <c r="AK10" i="1" s="1"/>
  <c r="AH11" i="1"/>
  <c r="AK11" i="1" s="1"/>
  <c r="AL12" i="1"/>
  <c r="AF11" i="1"/>
  <c r="AM13" i="1"/>
  <c r="AN13" i="1"/>
  <c r="AO13" i="1" s="1"/>
  <c r="AP13" i="1" s="1"/>
  <c r="AK1" i="1" l="1"/>
  <c r="AL11" i="1"/>
  <c r="AF10" i="1"/>
  <c r="AL10" i="1" s="1"/>
  <c r="AN12" i="1"/>
  <c r="AO12" i="1" s="1"/>
  <c r="AP12" i="1" s="1"/>
  <c r="AM12" i="1"/>
  <c r="AN10" i="1" l="1"/>
  <c r="AO10" i="1" s="1"/>
  <c r="AP10" i="1" s="1"/>
  <c r="AM10" i="1"/>
  <c r="AN11" i="1"/>
  <c r="AO11" i="1" s="1"/>
  <c r="AP11" i="1" s="1"/>
  <c r="AM11" i="1"/>
</calcChain>
</file>

<file path=xl/sharedStrings.xml><?xml version="1.0" encoding="utf-8"?>
<sst xmlns="http://schemas.openxmlformats.org/spreadsheetml/2006/main" count="62" uniqueCount="28">
  <si>
    <t>Sum</t>
  </si>
  <si>
    <t>Potência=</t>
  </si>
  <si>
    <t>Idade</t>
  </si>
  <si>
    <t>l</t>
  </si>
  <si>
    <t>d</t>
  </si>
  <si>
    <t>q</t>
  </si>
  <si>
    <t>p</t>
  </si>
  <si>
    <t>mu</t>
  </si>
  <si>
    <t>e</t>
  </si>
  <si>
    <t>ex</t>
  </si>
  <si>
    <t>D</t>
  </si>
  <si>
    <t>N</t>
  </si>
  <si>
    <t>C</t>
  </si>
  <si>
    <t>M</t>
  </si>
  <si>
    <t>x</t>
  </si>
  <si>
    <t>i=</t>
  </si>
  <si>
    <t>=&gt;</t>
  </si>
  <si>
    <t>v=</t>
  </si>
  <si>
    <t>TV7377</t>
  </si>
  <si>
    <t>c=</t>
  </si>
  <si>
    <t>i* =</t>
  </si>
  <si>
    <t>WholeLifeAnnuityDue by</t>
  </si>
  <si>
    <t>Sobrevivência 1973-1977 e Rendas 1985-1993</t>
  </si>
  <si>
    <t>Teste =</t>
  </si>
  <si>
    <t>d=</t>
  </si>
  <si>
    <t>WholeLifeAnnuityDue</t>
  </si>
  <si>
    <t>WholeLifeInsurance</t>
  </si>
  <si>
    <t>Teste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</si>
</sst>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00E+00"/>
    <numFmt numFmtId="165" formatCode="0.00000"/>
    <numFmt numFmtId="166" formatCode="0.0000"/>
    <numFmt numFmtId="167" formatCode="0.000000"/>
  </numFmts>
  <fonts count="6" x14ac:knownFonts="1">
    <font>
      <sz val="11"/>
      <name val="Univers"/>
      <family val="2"/>
    </font>
    <font>
      <sz val="8"/>
      <name val="Garamond"/>
      <family val="1"/>
    </font>
    <font>
      <b/>
      <sz val="8"/>
      <name val="Garamond"/>
      <family val="1"/>
    </font>
    <font>
      <sz val="8"/>
      <color rgb="FFFF0000"/>
      <name val="Garamond"/>
      <family val="1"/>
    </font>
    <font>
      <b/>
      <i/>
      <sz val="8"/>
      <name val="Garamond"/>
      <family val="1"/>
    </font>
    <font>
      <sz val="8"/>
      <color indexed="10"/>
      <name val="Garamond"/>
      <family val="1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36">
    <xf numFmtId="0" fontId="0" fillId="0" borderId="0" xfId="0"/>
    <xf numFmtId="0" fontId="1" fillId="0" borderId="0" xfId="0" applyFont="1"/>
    <xf numFmtId="0" fontId="2" fillId="0" borderId="0" xfId="0" applyFont="1" applyAlignment="1">
      <alignment horizontal="center"/>
    </xf>
    <xf numFmtId="0" fontId="2" fillId="0" borderId="0" xfId="0" applyFont="1" applyAlignment="1">
      <alignment horizontal="right"/>
    </xf>
    <xf numFmtId="0" fontId="3" fillId="0" borderId="0" xfId="0" applyFont="1" applyAlignment="1">
      <alignment horizontal="left"/>
    </xf>
    <xf numFmtId="164" fontId="2" fillId="2" borderId="0" xfId="0" applyNumberFormat="1" applyFont="1" applyFill="1"/>
    <xf numFmtId="0" fontId="4" fillId="0" borderId="0" xfId="0" applyFont="1" applyAlignment="1">
      <alignment horizontal="center"/>
    </xf>
    <xf numFmtId="10" fontId="5" fillId="0" borderId="0" xfId="0" applyNumberFormat="1" applyFont="1" applyAlignment="1">
      <alignment horizontal="left"/>
    </xf>
    <xf numFmtId="0" fontId="1" fillId="0" borderId="0" xfId="0" quotePrefix="1" applyFont="1"/>
    <xf numFmtId="165" fontId="1" fillId="0" borderId="0" xfId="0" applyNumberFormat="1" applyFont="1" applyAlignment="1">
      <alignment horizontal="left"/>
    </xf>
    <xf numFmtId="10" fontId="1" fillId="0" borderId="0" xfId="0" applyNumberFormat="1" applyFont="1" applyAlignment="1">
      <alignment horizontal="left"/>
    </xf>
    <xf numFmtId="0" fontId="2" fillId="0" borderId="0" xfId="0" applyFont="1"/>
    <xf numFmtId="164" fontId="2" fillId="0" borderId="0" xfId="0" applyNumberFormat="1" applyFont="1"/>
    <xf numFmtId="0" fontId="1" fillId="0" borderId="0" xfId="0" applyFont="1" applyAlignment="1">
      <alignment horizontal="right"/>
    </xf>
    <xf numFmtId="0" fontId="1" fillId="0" borderId="0" xfId="0" applyFont="1" applyAlignment="1">
      <alignment horizontal="left"/>
    </xf>
    <xf numFmtId="4" fontId="1" fillId="0" borderId="0" xfId="0" applyNumberFormat="1" applyFont="1"/>
    <xf numFmtId="0" fontId="2" fillId="0" borderId="0" xfId="0" applyFont="1" applyAlignment="1">
      <alignment horizontal="left"/>
    </xf>
    <xf numFmtId="166" fontId="1" fillId="0" borderId="1" xfId="0" applyNumberFormat="1" applyFont="1" applyBorder="1"/>
    <xf numFmtId="167" fontId="1" fillId="0" borderId="2" xfId="0" applyNumberFormat="1" applyFont="1" applyBorder="1"/>
    <xf numFmtId="165" fontId="1" fillId="0" borderId="1" xfId="0" applyNumberFormat="1" applyFont="1" applyBorder="1"/>
    <xf numFmtId="166" fontId="1" fillId="0" borderId="3" xfId="0" applyNumberFormat="1" applyFont="1" applyBorder="1"/>
    <xf numFmtId="0" fontId="1" fillId="0" borderId="1" xfId="0" applyFont="1" applyBorder="1"/>
    <xf numFmtId="167" fontId="1" fillId="0" borderId="0" xfId="0" applyNumberFormat="1" applyFont="1"/>
    <xf numFmtId="165" fontId="1" fillId="0" borderId="0" xfId="0" applyNumberFormat="1" applyFont="1"/>
    <xf numFmtId="2" fontId="1" fillId="0" borderId="1" xfId="0" applyNumberFormat="1" applyFont="1" applyBorder="1"/>
    <xf numFmtId="165" fontId="1" fillId="0" borderId="0" xfId="0" applyNumberFormat="1" applyFont="1" applyAlignment="1">
      <alignment horizontal="center"/>
    </xf>
    <xf numFmtId="164" fontId="1" fillId="0" borderId="0" xfId="0" applyNumberFormat="1" applyFont="1"/>
    <xf numFmtId="2" fontId="1" fillId="0" borderId="0" xfId="0" applyNumberFormat="1" applyFont="1"/>
    <xf numFmtId="167" fontId="1" fillId="0" borderId="4" xfId="0" applyNumberFormat="1" applyFont="1" applyBorder="1"/>
    <xf numFmtId="165" fontId="1" fillId="0" borderId="5" xfId="0" applyNumberFormat="1" applyFont="1" applyBorder="1"/>
    <xf numFmtId="166" fontId="1" fillId="0" borderId="6" xfId="0" applyNumberFormat="1" applyFont="1" applyBorder="1"/>
    <xf numFmtId="0" fontId="1" fillId="0" borderId="5" xfId="0" applyFont="1" applyBorder="1"/>
    <xf numFmtId="166" fontId="1" fillId="0" borderId="2" xfId="0" applyNumberFormat="1" applyFont="1" applyBorder="1"/>
    <xf numFmtId="167" fontId="1" fillId="0" borderId="1" xfId="0" applyNumberFormat="1" applyFont="1" applyBorder="1"/>
    <xf numFmtId="166" fontId="1" fillId="0" borderId="0" xfId="0" applyNumberFormat="1" applyFont="1"/>
    <xf numFmtId="0" fontId="1" fillId="3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2.xml"/><Relationship Id="rId7" Type="http://schemas.openxmlformats.org/officeDocument/2006/relationships/sharedStrings" Target="sharedStrings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800" b="1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6008702334261448E-2"/>
          <c:y val="0.13683759042314833"/>
          <c:w val="0.93005169505903018"/>
          <c:h val="0.7816936175660969"/>
        </c:manualLayout>
      </c:layout>
      <c:lineChart>
        <c:grouping val="standard"/>
        <c:varyColors val="0"/>
        <c:ser>
          <c:idx val="0"/>
          <c:order val="0"/>
          <c:tx>
            <c:strRef>
              <c:f>TV7377Var!$AP$6</c:f>
              <c:strCache>
                <c:ptCount val="1"/>
                <c:pt idx="0">
                  <c:v>CoefVar(WholeLifeAnnuityDue)</c:v>
                </c:pt>
              </c:strCache>
            </c:strRef>
          </c:tx>
          <c:marker>
            <c:symbol val="none"/>
          </c:marker>
          <c:cat>
            <c:numRef>
              <c:f>TV7377Var!$AB$10:$AB$116</c:f>
              <c:numCache>
                <c:formatCode>General</c:formatCode>
                <c:ptCount val="1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</c:numCache>
            </c:numRef>
          </c:cat>
          <c:val>
            <c:numRef>
              <c:f>TV7377Var!$AP$10:$AP$116</c:f>
              <c:numCache>
                <c:formatCode>General</c:formatCode>
                <c:ptCount val="107"/>
                <c:pt idx="0">
                  <c:v>0.17591182138894698</c:v>
                </c:pt>
                <c:pt idx="1">
                  <c:v>0.14249220761256429</c:v>
                </c:pt>
                <c:pt idx="2">
                  <c:v>0.14179590744127554</c:v>
                </c:pt>
                <c:pt idx="3">
                  <c:v>0.14241228902440406</c:v>
                </c:pt>
                <c:pt idx="4">
                  <c:v>0.14353195417841658</c:v>
                </c:pt>
                <c:pt idx="5">
                  <c:v>0.14498993457934764</c:v>
                </c:pt>
                <c:pt idx="6">
                  <c:v>0.14665325773033816</c:v>
                </c:pt>
                <c:pt idx="7">
                  <c:v>0.14849154117013755</c:v>
                </c:pt>
                <c:pt idx="8">
                  <c:v>0.1504744938028115</c:v>
                </c:pt>
                <c:pt idx="9">
                  <c:v>0.15260557128702601</c:v>
                </c:pt>
                <c:pt idx="10">
                  <c:v>0.15488830190564729</c:v>
                </c:pt>
                <c:pt idx="11">
                  <c:v>0.15732631108057307</c:v>
                </c:pt>
                <c:pt idx="12">
                  <c:v>0.15985941737730933</c:v>
                </c:pt>
                <c:pt idx="13">
                  <c:v>0.16252331746179413</c:v>
                </c:pt>
                <c:pt idx="14">
                  <c:v>0.1651983461552681</c:v>
                </c:pt>
                <c:pt idx="15">
                  <c:v>0.16782848270904174</c:v>
                </c:pt>
                <c:pt idx="16">
                  <c:v>0.17032852854758268</c:v>
                </c:pt>
                <c:pt idx="17">
                  <c:v>0.17267342346557313</c:v>
                </c:pt>
                <c:pt idx="18">
                  <c:v>0.17483753799499127</c:v>
                </c:pt>
                <c:pt idx="19">
                  <c:v>0.17694005081687009</c:v>
                </c:pt>
                <c:pt idx="20">
                  <c:v>0.17912877381104814</c:v>
                </c:pt>
                <c:pt idx="21">
                  <c:v>0.18149494008045763</c:v>
                </c:pt>
                <c:pt idx="22">
                  <c:v>0.18401748418961347</c:v>
                </c:pt>
                <c:pt idx="23">
                  <c:v>0.186731366440054</c:v>
                </c:pt>
                <c:pt idx="24">
                  <c:v>0.1896170075055377</c:v>
                </c:pt>
                <c:pt idx="25">
                  <c:v>0.19260147678969219</c:v>
                </c:pt>
                <c:pt idx="26">
                  <c:v>0.19577285137697165</c:v>
                </c:pt>
                <c:pt idx="27">
                  <c:v>0.19908787417067306</c:v>
                </c:pt>
                <c:pt idx="28">
                  <c:v>0.20255617875098766</c:v>
                </c:pt>
                <c:pt idx="29">
                  <c:v>0.20608635128451605</c:v>
                </c:pt>
                <c:pt idx="30">
                  <c:v>0.20971404102080102</c:v>
                </c:pt>
                <c:pt idx="31">
                  <c:v>0.21350003413906615</c:v>
                </c:pt>
                <c:pt idx="32">
                  <c:v>0.2173840508346212</c:v>
                </c:pt>
                <c:pt idx="33">
                  <c:v>0.22137918030906026</c:v>
                </c:pt>
                <c:pt idx="34">
                  <c:v>0.22547591837313705</c:v>
                </c:pt>
                <c:pt idx="35">
                  <c:v>0.22966596824029054</c:v>
                </c:pt>
                <c:pt idx="36">
                  <c:v>0.23394225413692424</c:v>
                </c:pt>
                <c:pt idx="37">
                  <c:v>0.23834388785915353</c:v>
                </c:pt>
                <c:pt idx="38">
                  <c:v>0.24280052714929184</c:v>
                </c:pt>
                <c:pt idx="39">
                  <c:v>0.24737412596027519</c:v>
                </c:pt>
                <c:pt idx="40">
                  <c:v>0.2520206424138634</c:v>
                </c:pt>
                <c:pt idx="41">
                  <c:v>0.25671865806169369</c:v>
                </c:pt>
                <c:pt idx="42">
                  <c:v>0.26151067419286961</c:v>
                </c:pt>
                <c:pt idx="43">
                  <c:v>0.26637931319303731</c:v>
                </c:pt>
                <c:pt idx="44">
                  <c:v>0.27126818951986553</c:v>
                </c:pt>
                <c:pt idx="45">
                  <c:v>0.2762018885323636</c:v>
                </c:pt>
                <c:pt idx="46">
                  <c:v>0.28122665426500171</c:v>
                </c:pt>
                <c:pt idx="47">
                  <c:v>0.28629381298633594</c:v>
                </c:pt>
                <c:pt idx="48">
                  <c:v>0.29141350205308381</c:v>
                </c:pt>
                <c:pt idx="49">
                  <c:v>0.29657894542118746</c:v>
                </c:pt>
                <c:pt idx="50">
                  <c:v>0.30187955140175743</c:v>
                </c:pt>
                <c:pt idx="51">
                  <c:v>0.30735414812666301</c:v>
                </c:pt>
                <c:pt idx="52">
                  <c:v>0.31297238360418916</c:v>
                </c:pt>
                <c:pt idx="53">
                  <c:v>0.31866981252626586</c:v>
                </c:pt>
                <c:pt idx="54">
                  <c:v>0.32447306898536188</c:v>
                </c:pt>
                <c:pt idx="55">
                  <c:v>0.33043126876012474</c:v>
                </c:pt>
                <c:pt idx="56">
                  <c:v>0.33663549947453042</c:v>
                </c:pt>
                <c:pt idx="57">
                  <c:v>0.34315161404373723</c:v>
                </c:pt>
                <c:pt idx="58">
                  <c:v>0.35000324702256413</c:v>
                </c:pt>
                <c:pt idx="59">
                  <c:v>0.35724012555634194</c:v>
                </c:pt>
                <c:pt idx="60">
                  <c:v>0.36492359755730441</c:v>
                </c:pt>
                <c:pt idx="61">
                  <c:v>0.37311205535866698</c:v>
                </c:pt>
                <c:pt idx="62">
                  <c:v>0.38171141658208085</c:v>
                </c:pt>
                <c:pt idx="63">
                  <c:v>0.39059921162946093</c:v>
                </c:pt>
                <c:pt idx="64">
                  <c:v>0.39983600926443785</c:v>
                </c:pt>
                <c:pt idx="65">
                  <c:v>0.40949897526467199</c:v>
                </c:pt>
                <c:pt idx="66">
                  <c:v>0.41958744448295004</c:v>
                </c:pt>
                <c:pt idx="67">
                  <c:v>0.43008169500524679</c:v>
                </c:pt>
                <c:pt idx="68">
                  <c:v>0.44100558588243882</c:v>
                </c:pt>
                <c:pt idx="69">
                  <c:v>0.45233388608786207</c:v>
                </c:pt>
                <c:pt idx="70">
                  <c:v>0.46396722548556446</c:v>
                </c:pt>
                <c:pt idx="71">
                  <c:v>0.47589520997540735</c:v>
                </c:pt>
                <c:pt idx="72">
                  <c:v>0.48814085910352506</c:v>
                </c:pt>
                <c:pt idx="73">
                  <c:v>0.50074669133843874</c:v>
                </c:pt>
                <c:pt idx="74">
                  <c:v>0.51374086937238717</c:v>
                </c:pt>
                <c:pt idx="75">
                  <c:v>0.52700459022990098</c:v>
                </c:pt>
                <c:pt idx="76">
                  <c:v>0.54026347130145691</c:v>
                </c:pt>
                <c:pt idx="77">
                  <c:v>0.55340706441090703</c:v>
                </c:pt>
                <c:pt idx="78">
                  <c:v>0.5663739947251355</c:v>
                </c:pt>
                <c:pt idx="79">
                  <c:v>0.57905320231547885</c:v>
                </c:pt>
                <c:pt idx="80">
                  <c:v>0.59149080014088684</c:v>
                </c:pt>
                <c:pt idx="81">
                  <c:v>0.60377106255828872</c:v>
                </c:pt>
                <c:pt idx="82">
                  <c:v>0.61572054323476788</c:v>
                </c:pt>
                <c:pt idx="83">
                  <c:v>0.62693065804923021</c:v>
                </c:pt>
                <c:pt idx="84">
                  <c:v>0.6370479524357936</c:v>
                </c:pt>
                <c:pt idx="85">
                  <c:v>0.6464213311074225</c:v>
                </c:pt>
                <c:pt idx="86">
                  <c:v>0.65538040987185631</c:v>
                </c:pt>
                <c:pt idx="87">
                  <c:v>0.66344214047132144</c:v>
                </c:pt>
                <c:pt idx="88">
                  <c:v>0.66991784752972328</c:v>
                </c:pt>
                <c:pt idx="89">
                  <c:v>0.67386726190740298</c:v>
                </c:pt>
                <c:pt idx="90">
                  <c:v>0.6734939807949043</c:v>
                </c:pt>
                <c:pt idx="91">
                  <c:v>0.66793711847617165</c:v>
                </c:pt>
                <c:pt idx="92">
                  <c:v>0.65786035391780373</c:v>
                </c:pt>
                <c:pt idx="93">
                  <c:v>0.64418823764825361</c:v>
                </c:pt>
                <c:pt idx="94">
                  <c:v>0.62675256118693778</c:v>
                </c:pt>
                <c:pt idx="95">
                  <c:v>0.60505650428746871</c:v>
                </c:pt>
                <c:pt idx="96">
                  <c:v>0.57907616358946978</c:v>
                </c:pt>
                <c:pt idx="97">
                  <c:v>0.55297442353361625</c:v>
                </c:pt>
                <c:pt idx="98">
                  <c:v>0.54035514765471859</c:v>
                </c:pt>
                <c:pt idx="99">
                  <c:v>0.59505574488896262</c:v>
                </c:pt>
                <c:pt idx="100">
                  <c:v>0.57841506777050067</c:v>
                </c:pt>
                <c:pt idx="101">
                  <c:v>0.55927063617193717</c:v>
                </c:pt>
                <c:pt idx="102">
                  <c:v>0.53730840099297694</c:v>
                </c:pt>
                <c:pt idx="103">
                  <c:v>0.50754602995822096</c:v>
                </c:pt>
                <c:pt idx="104">
                  <c:v>0.4431066011693246</c:v>
                </c:pt>
                <c:pt idx="105">
                  <c:v>0.34028503095433743</c:v>
                </c:pt>
                <c:pt idx="10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184-49C2-851E-E6E345CB45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30358720"/>
        <c:axId val="1"/>
      </c:lineChart>
      <c:catAx>
        <c:axId val="6303587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63035872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25127773801002151"/>
          <c:y val="0.21609736282964631"/>
          <c:w val="0.17632038892865665"/>
          <c:h val="5.0716785401824782E-2"/>
        </c:manualLayout>
      </c:layout>
      <c:overlay val="0"/>
      <c:txPr>
        <a:bodyPr/>
        <a:lstStyle/>
        <a:p>
          <a:pPr>
            <a:defRPr sz="71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122" l="0.70000000000000062" r="0.70000000000000062" t="0.75000000000000122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42</xdr:col>
      <xdr:colOff>101600</xdr:colOff>
      <xdr:row>2</xdr:row>
      <xdr:rowOff>29633</xdr:rowOff>
    </xdr:from>
    <xdr:to>
      <xdr:col>52</xdr:col>
      <xdr:colOff>33867</xdr:colOff>
      <xdr:row>11</xdr:row>
      <xdr:rowOff>21167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8D0D49C-206C-4EF4-9C4B-B295EE309FC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PedroCR/Dropbox%20(MagentaKoncept)/PedroCR/Actua/Mortalidade/Mortalidade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PedroCR/Dropbox%20(MagentaKoncept)/PedroCR/Actua/Mortalidade/BankInsightFP1_co_LA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PedroCR/Dropbox%20(MagentaKoncept)/PedroCR/Actua/Mortalidade/Resultado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M91_94"/>
      <sheetName val="PF91_94"/>
      <sheetName val="A1967_70"/>
      <sheetName val="AT49"/>
      <sheetName val="PM60_64"/>
      <sheetName val="PF60_64"/>
      <sheetName val="1996USAnnuity2000Female"/>
      <sheetName val="1996USAnnuity2000Male"/>
      <sheetName val="AT83"/>
      <sheetName val="AT83F"/>
      <sheetName val="AT2000M"/>
      <sheetName val="AT2000F"/>
      <sheetName val="CSG60"/>
      <sheetName val="CSO58M"/>
      <sheetName val="CSO80M"/>
      <sheetName val="CSO80F"/>
      <sheetName val="FBras91"/>
      <sheetName val="FBras91a99"/>
      <sheetName val="GAM71"/>
      <sheetName val="GKM70"/>
      <sheetName val="GKF80"/>
      <sheetName val="GKM80"/>
      <sheetName val="GKF95"/>
      <sheetName val="GKF95Var"/>
      <sheetName val="GRF95Var"/>
      <sheetName val="GKF95 (3)"/>
      <sheetName val="GKM95 Original"/>
      <sheetName val="GKM95"/>
      <sheetName val="GKM95 (2)"/>
      <sheetName val="GKF95 (2)"/>
      <sheetName val="GRF80"/>
      <sheetName val="MBras91"/>
      <sheetName val="MBras91a99"/>
      <sheetName val="RSuiçaM2000"/>
      <sheetName val="RSuiçaF2000"/>
      <sheetName val="Bras91a99"/>
      <sheetName val="Soma"/>
      <sheetName val="IABP57"/>
      <sheetName val="IABP57M"/>
      <sheetName val="VZ2000F"/>
      <sheetName val="VZ2000M"/>
      <sheetName val="TV7377Var"/>
      <sheetName val="TV8890"/>
      <sheetName val="TV8890Var"/>
      <sheetName val="TPRV93"/>
      <sheetName val="TD8890"/>
      <sheetName val="AV60"/>
      <sheetName val="MalePT_SR"/>
      <sheetName val="ANGV_MaleVar"/>
      <sheetName val="VarAnnuitie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>
        <row r="6">
          <cell r="AF6" t="str">
            <v>CoefVar(WholeLifeAnnuityDue)</v>
          </cell>
        </row>
        <row r="10">
          <cell r="R10">
            <v>0</v>
          </cell>
          <cell r="AF10">
            <v>0.19053639330701153</v>
          </cell>
        </row>
        <row r="11">
          <cell r="R11">
            <v>1</v>
          </cell>
          <cell r="AF11">
            <v>0.16027629794374862</v>
          </cell>
        </row>
        <row r="12">
          <cell r="R12">
            <v>2</v>
          </cell>
          <cell r="AF12">
            <v>0.15981049861011398</v>
          </cell>
        </row>
        <row r="13">
          <cell r="R13">
            <v>3</v>
          </cell>
          <cell r="AF13">
            <v>0.16051976218736139</v>
          </cell>
        </row>
        <row r="14">
          <cell r="R14">
            <v>4</v>
          </cell>
          <cell r="AF14">
            <v>0.16168129030966982</v>
          </cell>
        </row>
        <row r="15">
          <cell r="R15">
            <v>5</v>
          </cell>
          <cell r="AF15">
            <v>0.16314755923897098</v>
          </cell>
        </row>
        <row r="16">
          <cell r="R16">
            <v>6</v>
          </cell>
          <cell r="AF16">
            <v>0.16480014908536389</v>
          </cell>
        </row>
        <row r="17">
          <cell r="R17">
            <v>7</v>
          </cell>
          <cell r="AF17">
            <v>0.16661195300401169</v>
          </cell>
        </row>
        <row r="18">
          <cell r="R18">
            <v>8</v>
          </cell>
          <cell r="AF18">
            <v>0.16855601242304691</v>
          </cell>
        </row>
        <row r="19">
          <cell r="R19">
            <v>9</v>
          </cell>
          <cell r="AF19">
            <v>0.17063545253447993</v>
          </cell>
        </row>
        <row r="20">
          <cell r="R20">
            <v>10</v>
          </cell>
          <cell r="AF20">
            <v>0.17285349648171372</v>
          </cell>
        </row>
        <row r="21">
          <cell r="R21">
            <v>11</v>
          </cell>
          <cell r="AF21">
            <v>0.175213485346083</v>
          </cell>
        </row>
        <row r="22">
          <cell r="R22">
            <v>12</v>
          </cell>
          <cell r="AF22">
            <v>0.17766158021755535</v>
          </cell>
        </row>
        <row r="23">
          <cell r="R23">
            <v>13</v>
          </cell>
          <cell r="AF23">
            <v>0.18022995175297224</v>
          </cell>
        </row>
        <row r="24">
          <cell r="R24">
            <v>14</v>
          </cell>
          <cell r="AF24">
            <v>0.18281094621942379</v>
          </cell>
        </row>
        <row r="25">
          <cell r="R25">
            <v>15</v>
          </cell>
          <cell r="AF25">
            <v>0.18535405619799447</v>
          </cell>
        </row>
        <row r="26">
          <cell r="R26">
            <v>16</v>
          </cell>
          <cell r="AF26">
            <v>0.18778232191897504</v>
          </cell>
        </row>
        <row r="27">
          <cell r="R27">
            <v>17</v>
          </cell>
          <cell r="AF27">
            <v>0.19007323477632565</v>
          </cell>
        </row>
        <row r="28">
          <cell r="R28">
            <v>18</v>
          </cell>
          <cell r="AF28">
            <v>0.19220391032672329</v>
          </cell>
        </row>
        <row r="29">
          <cell r="R29">
            <v>19</v>
          </cell>
          <cell r="AF29">
            <v>0.1942831127905405</v>
          </cell>
        </row>
        <row r="30">
          <cell r="R30">
            <v>20</v>
          </cell>
          <cell r="AF30">
            <v>0.19644563967585382</v>
          </cell>
        </row>
        <row r="31">
          <cell r="R31">
            <v>21</v>
          </cell>
          <cell r="AF31">
            <v>0.19877470376542059</v>
          </cell>
        </row>
        <row r="32">
          <cell r="R32">
            <v>22</v>
          </cell>
          <cell r="AF32">
            <v>0.20125112976612713</v>
          </cell>
        </row>
        <row r="33">
          <cell r="R33">
            <v>23</v>
          </cell>
          <cell r="AF33">
            <v>0.20390692302679522</v>
          </cell>
        </row>
        <row r="34">
          <cell r="R34">
            <v>24</v>
          </cell>
          <cell r="AF34">
            <v>0.20672424013499965</v>
          </cell>
        </row>
        <row r="35">
          <cell r="R35">
            <v>25</v>
          </cell>
          <cell r="AF35">
            <v>0.20963635802292502</v>
          </cell>
        </row>
        <row r="36">
          <cell r="R36">
            <v>26</v>
          </cell>
          <cell r="AF36">
            <v>0.21272427612337197</v>
          </cell>
        </row>
        <row r="37">
          <cell r="R37">
            <v>27</v>
          </cell>
          <cell r="AF37">
            <v>0.21594832381056839</v>
          </cell>
        </row>
        <row r="38">
          <cell r="R38">
            <v>28</v>
          </cell>
          <cell r="AF38">
            <v>0.21931750239626352</v>
          </cell>
        </row>
        <row r="39">
          <cell r="R39">
            <v>29</v>
          </cell>
          <cell r="AF39">
            <v>0.22274755718761144</v>
          </cell>
        </row>
        <row r="40">
          <cell r="R40">
            <v>30</v>
          </cell>
          <cell r="AF40">
            <v>0.22627159971763419</v>
          </cell>
        </row>
        <row r="41">
          <cell r="R41">
            <v>31</v>
          </cell>
          <cell r="AF41">
            <v>0.22994607432042855</v>
          </cell>
        </row>
        <row r="42">
          <cell r="R42">
            <v>32</v>
          </cell>
          <cell r="AF42">
            <v>0.23371514055545864</v>
          </cell>
        </row>
        <row r="43">
          <cell r="R43">
            <v>33</v>
          </cell>
          <cell r="AF43">
            <v>0.23759108612117416</v>
          </cell>
        </row>
        <row r="44">
          <cell r="R44">
            <v>34</v>
          </cell>
          <cell r="AF44">
            <v>0.24156516541022763</v>
          </cell>
        </row>
        <row r="45">
          <cell r="R45">
            <v>35</v>
          </cell>
          <cell r="AF45">
            <v>0.24562974250966182</v>
          </cell>
        </row>
        <row r="46">
          <cell r="R46">
            <v>36</v>
          </cell>
          <cell r="AF46">
            <v>0.24977831094602607</v>
          </cell>
        </row>
        <row r="47">
          <cell r="R47">
            <v>37</v>
          </cell>
          <cell r="AF47">
            <v>0.25404761021590194</v>
          </cell>
        </row>
        <row r="48">
          <cell r="R48">
            <v>38</v>
          </cell>
          <cell r="AF48">
            <v>0.25837173629760035</v>
          </cell>
        </row>
        <row r="49">
          <cell r="R49">
            <v>39</v>
          </cell>
          <cell r="AF49">
            <v>0.26280904275042749</v>
          </cell>
        </row>
        <row r="50">
          <cell r="R50">
            <v>40</v>
          </cell>
          <cell r="AF50">
            <v>0.26731816596482316</v>
          </cell>
        </row>
        <row r="51">
          <cell r="R51">
            <v>41</v>
          </cell>
          <cell r="AF51">
            <v>0.2718790469629267</v>
          </cell>
        </row>
        <row r="52">
          <cell r="R52">
            <v>42</v>
          </cell>
          <cell r="AF52">
            <v>0.27653199440813686</v>
          </cell>
        </row>
        <row r="53">
          <cell r="R53">
            <v>43</v>
          </cell>
          <cell r="AF53">
            <v>0.28126071732741703</v>
          </cell>
        </row>
        <row r="54">
          <cell r="R54">
            <v>44</v>
          </cell>
          <cell r="AF54">
            <v>0.28601198829637486</v>
          </cell>
        </row>
        <row r="55">
          <cell r="R55">
            <v>45</v>
          </cell>
          <cell r="AF55">
            <v>0.29080942393754139</v>
          </cell>
        </row>
        <row r="56">
          <cell r="R56">
            <v>46</v>
          </cell>
          <cell r="AF56">
            <v>0.29569726030978533</v>
          </cell>
        </row>
        <row r="57">
          <cell r="R57">
            <v>47</v>
          </cell>
          <cell r="AF57">
            <v>0.30062946704991012</v>
          </cell>
        </row>
        <row r="58">
          <cell r="R58">
            <v>48</v>
          </cell>
          <cell r="AF58">
            <v>0.30561610178623705</v>
          </cell>
        </row>
        <row r="59">
          <cell r="R59">
            <v>49</v>
          </cell>
          <cell r="AF59">
            <v>0.3106511481891297</v>
          </cell>
        </row>
        <row r="60">
          <cell r="R60">
            <v>50</v>
          </cell>
          <cell r="AF60">
            <v>0.31582051863206168</v>
          </cell>
        </row>
        <row r="61">
          <cell r="R61">
            <v>51</v>
          </cell>
          <cell r="AF61">
            <v>0.32116173917203422</v>
          </cell>
        </row>
        <row r="62">
          <cell r="R62">
            <v>52</v>
          </cell>
          <cell r="AF62">
            <v>0.32664610484010276</v>
          </cell>
        </row>
        <row r="63">
          <cell r="R63">
            <v>53</v>
          </cell>
          <cell r="AF63">
            <v>0.33221230729045559</v>
          </cell>
        </row>
        <row r="64">
          <cell r="R64">
            <v>54</v>
          </cell>
          <cell r="AF64">
            <v>0.33788660013517013</v>
          </cell>
        </row>
        <row r="65">
          <cell r="R65">
            <v>55</v>
          </cell>
          <cell r="AF65">
            <v>0.3437169046940674</v>
          </cell>
        </row>
        <row r="66">
          <cell r="R66">
            <v>56</v>
          </cell>
          <cell r="AF66">
            <v>0.34979154131513601</v>
          </cell>
        </row>
        <row r="67">
          <cell r="R67">
            <v>57</v>
          </cell>
          <cell r="AF67">
            <v>0.35617447138253411</v>
          </cell>
        </row>
        <row r="68">
          <cell r="R68">
            <v>58</v>
          </cell>
          <cell r="AF68">
            <v>0.36288890491504205</v>
          </cell>
        </row>
        <row r="69">
          <cell r="R69">
            <v>59</v>
          </cell>
          <cell r="AF69">
            <v>0.36998323590941717</v>
          </cell>
        </row>
        <row r="70">
          <cell r="R70">
            <v>60</v>
          </cell>
          <cell r="AF70">
            <v>0.37751703314020696</v>
          </cell>
        </row>
        <row r="71">
          <cell r="R71">
            <v>61</v>
          </cell>
          <cell r="AF71">
            <v>0.38554690399306235</v>
          </cell>
        </row>
        <row r="72">
          <cell r="R72">
            <v>62</v>
          </cell>
          <cell r="AF72">
            <v>0.39398160455544257</v>
          </cell>
        </row>
        <row r="73">
          <cell r="R73">
            <v>63</v>
          </cell>
          <cell r="AF73">
            <v>0.40270241889446651</v>
          </cell>
        </row>
        <row r="74">
          <cell r="R74">
            <v>64</v>
          </cell>
          <cell r="AF74">
            <v>0.41176854792628609</v>
          </cell>
        </row>
        <row r="75">
          <cell r="R75">
            <v>65</v>
          </cell>
          <cell r="AF75">
            <v>0.42125523815905125</v>
          </cell>
        </row>
        <row r="76">
          <cell r="R76">
            <v>66</v>
          </cell>
          <cell r="AF76">
            <v>0.4311617980036363</v>
          </cell>
        </row>
        <row r="77">
          <cell r="R77">
            <v>67</v>
          </cell>
          <cell r="AF77">
            <v>0.44146886945984354</v>
          </cell>
        </row>
        <row r="78">
          <cell r="R78">
            <v>68</v>
          </cell>
          <cell r="AF78">
            <v>0.45219953344462704</v>
          </cell>
        </row>
        <row r="79">
          <cell r="R79">
            <v>69</v>
          </cell>
          <cell r="AF79">
            <v>0.4633287279513279</v>
          </cell>
        </row>
        <row r="80">
          <cell r="R80">
            <v>70</v>
          </cell>
          <cell r="AF80">
            <v>0.47475876936648148</v>
          </cell>
        </row>
        <row r="81">
          <cell r="R81">
            <v>71</v>
          </cell>
          <cell r="AF81">
            <v>0.48647912364339585</v>
          </cell>
        </row>
        <row r="82">
          <cell r="R82">
            <v>72</v>
          </cell>
          <cell r="AF82">
            <v>0.49851186250373852</v>
          </cell>
        </row>
        <row r="83">
          <cell r="R83">
            <v>73</v>
          </cell>
          <cell r="AF83">
            <v>0.51089788903654643</v>
          </cell>
        </row>
        <row r="84">
          <cell r="R84">
            <v>74</v>
          </cell>
          <cell r="AF84">
            <v>0.52366352351087697</v>
          </cell>
        </row>
        <row r="85">
          <cell r="R85">
            <v>75</v>
          </cell>
          <cell r="AF85">
            <v>0.53669004534992459</v>
          </cell>
        </row>
        <row r="86">
          <cell r="R86">
            <v>76</v>
          </cell>
          <cell r="AF86">
            <v>0.54970547788455504</v>
          </cell>
        </row>
        <row r="87">
          <cell r="R87">
            <v>77</v>
          </cell>
          <cell r="AF87">
            <v>0.56259966468842315</v>
          </cell>
        </row>
        <row r="88">
          <cell r="R88">
            <v>78</v>
          </cell>
          <cell r="AF88">
            <v>0.57531083235805947</v>
          </cell>
        </row>
        <row r="89">
          <cell r="R89">
            <v>79</v>
          </cell>
          <cell r="AF89">
            <v>0.58772808933684728</v>
          </cell>
        </row>
        <row r="90">
          <cell r="R90">
            <v>80</v>
          </cell>
          <cell r="AF90">
            <v>0.59989565898244324</v>
          </cell>
        </row>
        <row r="91">
          <cell r="R91">
            <v>81</v>
          </cell>
          <cell r="AF91">
            <v>0.61189456477511439</v>
          </cell>
        </row>
        <row r="92">
          <cell r="R92">
            <v>82</v>
          </cell>
          <cell r="AF92">
            <v>0.6235497039811877</v>
          </cell>
        </row>
        <row r="93">
          <cell r="R93">
            <v>83</v>
          </cell>
          <cell r="AF93">
            <v>0.63445305121171203</v>
          </cell>
        </row>
        <row r="94">
          <cell r="R94">
            <v>84</v>
          </cell>
          <cell r="AF94">
            <v>0.64425218270649875</v>
          </cell>
        </row>
        <row r="95">
          <cell r="R95">
            <v>85</v>
          </cell>
          <cell r="AF95">
            <v>0.65329080342100865</v>
          </cell>
        </row>
        <row r="96">
          <cell r="R96">
            <v>86</v>
          </cell>
          <cell r="AF96">
            <v>0.66188964076378243</v>
          </cell>
        </row>
        <row r="97">
          <cell r="R97">
            <v>87</v>
          </cell>
          <cell r="AF97">
            <v>0.6695588553866566</v>
          </cell>
        </row>
        <row r="98">
          <cell r="R98">
            <v>88</v>
          </cell>
          <cell r="AF98">
            <v>0.67560322573218035</v>
          </cell>
        </row>
        <row r="99">
          <cell r="R99">
            <v>89</v>
          </cell>
          <cell r="AF99">
            <v>0.6790780823306245</v>
          </cell>
        </row>
        <row r="100">
          <cell r="R100">
            <v>90</v>
          </cell>
          <cell r="AF100">
            <v>0.67819344873012521</v>
          </cell>
        </row>
        <row r="101">
          <cell r="R101">
            <v>91</v>
          </cell>
          <cell r="AF101">
            <v>0.67210199651493652</v>
          </cell>
        </row>
        <row r="102">
          <cell r="R102">
            <v>92</v>
          </cell>
          <cell r="AF102">
            <v>0.66148122270042709</v>
          </cell>
        </row>
        <row r="103">
          <cell r="R103">
            <v>93</v>
          </cell>
          <cell r="AF103">
            <v>0.64726828501371392</v>
          </cell>
        </row>
        <row r="104">
          <cell r="R104">
            <v>94</v>
          </cell>
          <cell r="AF104">
            <v>0.62931378940002247</v>
          </cell>
        </row>
        <row r="105">
          <cell r="R105">
            <v>95</v>
          </cell>
          <cell r="AF105">
            <v>0.6071520637848179</v>
          </cell>
        </row>
        <row r="106">
          <cell r="R106">
            <v>96</v>
          </cell>
          <cell r="AF106">
            <v>0.58081025975241962</v>
          </cell>
        </row>
        <row r="107">
          <cell r="R107">
            <v>97</v>
          </cell>
          <cell r="AF107">
            <v>0.5545130018378146</v>
          </cell>
        </row>
        <row r="108">
          <cell r="R108">
            <v>98</v>
          </cell>
          <cell r="AF108">
            <v>0.54189284613040678</v>
          </cell>
        </row>
        <row r="109">
          <cell r="R109">
            <v>99</v>
          </cell>
          <cell r="AF109">
            <v>0.5964496525386962</v>
          </cell>
        </row>
        <row r="110">
          <cell r="R110">
            <v>100</v>
          </cell>
          <cell r="AF110">
            <v>0.57959281526717987</v>
          </cell>
        </row>
        <row r="111">
          <cell r="R111">
            <v>101</v>
          </cell>
          <cell r="AF111">
            <v>0.56022990670362272</v>
          </cell>
        </row>
        <row r="112">
          <cell r="R112">
            <v>102</v>
          </cell>
          <cell r="AF112">
            <v>0.53801760582522062</v>
          </cell>
        </row>
        <row r="113">
          <cell r="R113">
            <v>103</v>
          </cell>
          <cell r="AF113">
            <v>0.50790950727155026</v>
          </cell>
        </row>
        <row r="114">
          <cell r="R114">
            <v>104</v>
          </cell>
          <cell r="AF114">
            <v>0.44303969374007912</v>
          </cell>
        </row>
        <row r="115">
          <cell r="R115">
            <v>105</v>
          </cell>
          <cell r="AF115">
            <v>0.33995109077458008</v>
          </cell>
        </row>
        <row r="116">
          <cell r="R116">
            <v>106</v>
          </cell>
          <cell r="AF116" t="e">
            <v>#NUM!</v>
          </cell>
        </row>
      </sheetData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assivos"/>
      <sheetName val="testes"/>
      <sheetName val="resultPlataforma"/>
      <sheetName val="tabua"/>
      <sheetName val="testes LA"/>
      <sheetName val="Tab liquida"/>
      <sheetName val="testes LA inr 60"/>
      <sheetName val="ANGV_Mal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assivos"/>
      <sheetName val="Gra RA ASSOC (2)"/>
      <sheetName val="Gra Pensoes ASSOC (2)"/>
      <sheetName val="Gra CN ASSOC  (2)"/>
      <sheetName val="Graf salarios"/>
      <sheetName val="media salarial"/>
      <sheetName val="Totais BestEstimate"/>
      <sheetName val="ALM-ResponsabilidadesIndividuai"/>
      <sheetName val="Graf piramide etária"/>
      <sheetName val="piramide etária"/>
      <sheetName val="estatisticas"/>
      <sheetName val="Resultados por benef"/>
      <sheetName val="Gra RA ASSOC"/>
      <sheetName val="Gra Pensoes ASSOC"/>
      <sheetName val="Gra VABT ASSOC"/>
      <sheetName val="Gra CN ASSOC "/>
      <sheetName val="Gra Var TVar ASSOC"/>
      <sheetName val="IAS"/>
      <sheetName val="BEST ESTIMATE"/>
      <sheetName val="Cenários"/>
      <sheetName val="Graf Gest Pop"/>
      <sheetName val="Gest pop"/>
      <sheetName val="ANGV_Male"/>
      <sheetName val="simbolos comutação"/>
      <sheetName val="Tab liquida"/>
      <sheetName val="duração"/>
      <sheetName val="Sensibilidade Taxas"/>
      <sheetName val="quadros sensib taxa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>
        <row r="1">
          <cell r="G1">
            <v>0.13</v>
          </cell>
        </row>
        <row r="2">
          <cell r="B2">
            <v>0.86956521739130443</v>
          </cell>
        </row>
      </sheetData>
      <sheetData sheetId="24" refreshError="1"/>
      <sheetData sheetId="25" refreshError="1"/>
      <sheetData sheetId="26" refreshError="1"/>
      <sheetData sheetId="27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48D28D-454D-48B3-ADAC-4D5DB4E98586}">
  <dimension ref="A1:AP150"/>
  <sheetViews>
    <sheetView showGridLines="0" tabSelected="1" topLeftCell="I1" zoomScale="140" zoomScaleNormal="140" workbookViewId="0">
      <pane ySplit="6" topLeftCell="A54" activePane="bottomLeft" state="frozen"/>
      <selection activeCell="J10" sqref="J10"/>
      <selection pane="bottomLeft" activeCell="Q57" sqref="Q57"/>
    </sheetView>
  </sheetViews>
  <sheetFormatPr defaultRowHeight="14" x14ac:dyDescent="0.45"/>
  <cols>
    <col min="38" max="38" width="13.5" bestFit="1" customWidth="1"/>
    <col min="39" max="39" width="15.88671875" bestFit="1" customWidth="1"/>
    <col min="40" max="40" width="17.109375" bestFit="1" customWidth="1"/>
    <col min="41" max="41" width="19.38671875" bestFit="1" customWidth="1"/>
    <col min="42" max="42" width="19.71875" bestFit="1" customWidth="1"/>
    <col min="294" max="294" width="13.5" bestFit="1" customWidth="1"/>
    <col min="295" max="295" width="15.88671875" bestFit="1" customWidth="1"/>
    <col min="296" max="296" width="17.109375" bestFit="1" customWidth="1"/>
    <col min="297" max="297" width="19.38671875" bestFit="1" customWidth="1"/>
    <col min="298" max="298" width="19.71875" bestFit="1" customWidth="1"/>
    <col min="550" max="550" width="13.5" bestFit="1" customWidth="1"/>
    <col min="551" max="551" width="15.88671875" bestFit="1" customWidth="1"/>
    <col min="552" max="552" width="17.109375" bestFit="1" customWidth="1"/>
    <col min="553" max="553" width="19.38671875" bestFit="1" customWidth="1"/>
    <col min="554" max="554" width="19.71875" bestFit="1" customWidth="1"/>
    <col min="806" max="806" width="13.5" bestFit="1" customWidth="1"/>
    <col min="807" max="807" width="15.88671875" bestFit="1" customWidth="1"/>
    <col min="808" max="808" width="17.109375" bestFit="1" customWidth="1"/>
    <col min="809" max="809" width="19.38671875" bestFit="1" customWidth="1"/>
    <col min="810" max="810" width="19.71875" bestFit="1" customWidth="1"/>
    <col min="1062" max="1062" width="13.5" bestFit="1" customWidth="1"/>
    <col min="1063" max="1063" width="15.88671875" bestFit="1" customWidth="1"/>
    <col min="1064" max="1064" width="17.109375" bestFit="1" customWidth="1"/>
    <col min="1065" max="1065" width="19.38671875" bestFit="1" customWidth="1"/>
    <col min="1066" max="1066" width="19.71875" bestFit="1" customWidth="1"/>
    <col min="1318" max="1318" width="13.5" bestFit="1" customWidth="1"/>
    <col min="1319" max="1319" width="15.88671875" bestFit="1" customWidth="1"/>
    <col min="1320" max="1320" width="17.109375" bestFit="1" customWidth="1"/>
    <col min="1321" max="1321" width="19.38671875" bestFit="1" customWidth="1"/>
    <col min="1322" max="1322" width="19.71875" bestFit="1" customWidth="1"/>
    <col min="1574" max="1574" width="13.5" bestFit="1" customWidth="1"/>
    <col min="1575" max="1575" width="15.88671875" bestFit="1" customWidth="1"/>
    <col min="1576" max="1576" width="17.109375" bestFit="1" customWidth="1"/>
    <col min="1577" max="1577" width="19.38671875" bestFit="1" customWidth="1"/>
    <col min="1578" max="1578" width="19.71875" bestFit="1" customWidth="1"/>
    <col min="1830" max="1830" width="13.5" bestFit="1" customWidth="1"/>
    <col min="1831" max="1831" width="15.88671875" bestFit="1" customWidth="1"/>
    <col min="1832" max="1832" width="17.109375" bestFit="1" customWidth="1"/>
    <col min="1833" max="1833" width="19.38671875" bestFit="1" customWidth="1"/>
    <col min="1834" max="1834" width="19.71875" bestFit="1" customWidth="1"/>
    <col min="2086" max="2086" width="13.5" bestFit="1" customWidth="1"/>
    <col min="2087" max="2087" width="15.88671875" bestFit="1" customWidth="1"/>
    <col min="2088" max="2088" width="17.109375" bestFit="1" customWidth="1"/>
    <col min="2089" max="2089" width="19.38671875" bestFit="1" customWidth="1"/>
    <col min="2090" max="2090" width="19.71875" bestFit="1" customWidth="1"/>
    <col min="2342" max="2342" width="13.5" bestFit="1" customWidth="1"/>
    <col min="2343" max="2343" width="15.88671875" bestFit="1" customWidth="1"/>
    <col min="2344" max="2344" width="17.109375" bestFit="1" customWidth="1"/>
    <col min="2345" max="2345" width="19.38671875" bestFit="1" customWidth="1"/>
    <col min="2346" max="2346" width="19.71875" bestFit="1" customWidth="1"/>
    <col min="2598" max="2598" width="13.5" bestFit="1" customWidth="1"/>
    <col min="2599" max="2599" width="15.88671875" bestFit="1" customWidth="1"/>
    <col min="2600" max="2600" width="17.109375" bestFit="1" customWidth="1"/>
    <col min="2601" max="2601" width="19.38671875" bestFit="1" customWidth="1"/>
    <col min="2602" max="2602" width="19.71875" bestFit="1" customWidth="1"/>
    <col min="2854" max="2854" width="13.5" bestFit="1" customWidth="1"/>
    <col min="2855" max="2855" width="15.88671875" bestFit="1" customWidth="1"/>
    <col min="2856" max="2856" width="17.109375" bestFit="1" customWidth="1"/>
    <col min="2857" max="2857" width="19.38671875" bestFit="1" customWidth="1"/>
    <col min="2858" max="2858" width="19.71875" bestFit="1" customWidth="1"/>
    <col min="3110" max="3110" width="13.5" bestFit="1" customWidth="1"/>
    <col min="3111" max="3111" width="15.88671875" bestFit="1" customWidth="1"/>
    <col min="3112" max="3112" width="17.109375" bestFit="1" customWidth="1"/>
    <col min="3113" max="3113" width="19.38671875" bestFit="1" customWidth="1"/>
    <col min="3114" max="3114" width="19.71875" bestFit="1" customWidth="1"/>
    <col min="3366" max="3366" width="13.5" bestFit="1" customWidth="1"/>
    <col min="3367" max="3367" width="15.88671875" bestFit="1" customWidth="1"/>
    <col min="3368" max="3368" width="17.109375" bestFit="1" customWidth="1"/>
    <col min="3369" max="3369" width="19.38671875" bestFit="1" customWidth="1"/>
    <col min="3370" max="3370" width="19.71875" bestFit="1" customWidth="1"/>
    <col min="3622" max="3622" width="13.5" bestFit="1" customWidth="1"/>
    <col min="3623" max="3623" width="15.88671875" bestFit="1" customWidth="1"/>
    <col min="3624" max="3624" width="17.109375" bestFit="1" customWidth="1"/>
    <col min="3625" max="3625" width="19.38671875" bestFit="1" customWidth="1"/>
    <col min="3626" max="3626" width="19.71875" bestFit="1" customWidth="1"/>
    <col min="3878" max="3878" width="13.5" bestFit="1" customWidth="1"/>
    <col min="3879" max="3879" width="15.88671875" bestFit="1" customWidth="1"/>
    <col min="3880" max="3880" width="17.109375" bestFit="1" customWidth="1"/>
    <col min="3881" max="3881" width="19.38671875" bestFit="1" customWidth="1"/>
    <col min="3882" max="3882" width="19.71875" bestFit="1" customWidth="1"/>
    <col min="4134" max="4134" width="13.5" bestFit="1" customWidth="1"/>
    <col min="4135" max="4135" width="15.88671875" bestFit="1" customWidth="1"/>
    <col min="4136" max="4136" width="17.109375" bestFit="1" customWidth="1"/>
    <col min="4137" max="4137" width="19.38671875" bestFit="1" customWidth="1"/>
    <col min="4138" max="4138" width="19.71875" bestFit="1" customWidth="1"/>
    <col min="4390" max="4390" width="13.5" bestFit="1" customWidth="1"/>
    <col min="4391" max="4391" width="15.88671875" bestFit="1" customWidth="1"/>
    <col min="4392" max="4392" width="17.109375" bestFit="1" customWidth="1"/>
    <col min="4393" max="4393" width="19.38671875" bestFit="1" customWidth="1"/>
    <col min="4394" max="4394" width="19.71875" bestFit="1" customWidth="1"/>
    <col min="4646" max="4646" width="13.5" bestFit="1" customWidth="1"/>
    <col min="4647" max="4647" width="15.88671875" bestFit="1" customWidth="1"/>
    <col min="4648" max="4648" width="17.109375" bestFit="1" customWidth="1"/>
    <col min="4649" max="4649" width="19.38671875" bestFit="1" customWidth="1"/>
    <col min="4650" max="4650" width="19.71875" bestFit="1" customWidth="1"/>
    <col min="4902" max="4902" width="13.5" bestFit="1" customWidth="1"/>
    <col min="4903" max="4903" width="15.88671875" bestFit="1" customWidth="1"/>
    <col min="4904" max="4904" width="17.109375" bestFit="1" customWidth="1"/>
    <col min="4905" max="4905" width="19.38671875" bestFit="1" customWidth="1"/>
    <col min="4906" max="4906" width="19.71875" bestFit="1" customWidth="1"/>
    <col min="5158" max="5158" width="13.5" bestFit="1" customWidth="1"/>
    <col min="5159" max="5159" width="15.88671875" bestFit="1" customWidth="1"/>
    <col min="5160" max="5160" width="17.109375" bestFit="1" customWidth="1"/>
    <col min="5161" max="5161" width="19.38671875" bestFit="1" customWidth="1"/>
    <col min="5162" max="5162" width="19.71875" bestFit="1" customWidth="1"/>
    <col min="5414" max="5414" width="13.5" bestFit="1" customWidth="1"/>
    <col min="5415" max="5415" width="15.88671875" bestFit="1" customWidth="1"/>
    <col min="5416" max="5416" width="17.109375" bestFit="1" customWidth="1"/>
    <col min="5417" max="5417" width="19.38671875" bestFit="1" customWidth="1"/>
    <col min="5418" max="5418" width="19.71875" bestFit="1" customWidth="1"/>
    <col min="5670" max="5670" width="13.5" bestFit="1" customWidth="1"/>
    <col min="5671" max="5671" width="15.88671875" bestFit="1" customWidth="1"/>
    <col min="5672" max="5672" width="17.109375" bestFit="1" customWidth="1"/>
    <col min="5673" max="5673" width="19.38671875" bestFit="1" customWidth="1"/>
    <col min="5674" max="5674" width="19.71875" bestFit="1" customWidth="1"/>
    <col min="5926" max="5926" width="13.5" bestFit="1" customWidth="1"/>
    <col min="5927" max="5927" width="15.88671875" bestFit="1" customWidth="1"/>
    <col min="5928" max="5928" width="17.109375" bestFit="1" customWidth="1"/>
    <col min="5929" max="5929" width="19.38671875" bestFit="1" customWidth="1"/>
    <col min="5930" max="5930" width="19.71875" bestFit="1" customWidth="1"/>
    <col min="6182" max="6182" width="13.5" bestFit="1" customWidth="1"/>
    <col min="6183" max="6183" width="15.88671875" bestFit="1" customWidth="1"/>
    <col min="6184" max="6184" width="17.109375" bestFit="1" customWidth="1"/>
    <col min="6185" max="6185" width="19.38671875" bestFit="1" customWidth="1"/>
    <col min="6186" max="6186" width="19.71875" bestFit="1" customWidth="1"/>
    <col min="6438" max="6438" width="13.5" bestFit="1" customWidth="1"/>
    <col min="6439" max="6439" width="15.88671875" bestFit="1" customWidth="1"/>
    <col min="6440" max="6440" width="17.109375" bestFit="1" customWidth="1"/>
    <col min="6441" max="6441" width="19.38671875" bestFit="1" customWidth="1"/>
    <col min="6442" max="6442" width="19.71875" bestFit="1" customWidth="1"/>
    <col min="6694" max="6694" width="13.5" bestFit="1" customWidth="1"/>
    <col min="6695" max="6695" width="15.88671875" bestFit="1" customWidth="1"/>
    <col min="6696" max="6696" width="17.109375" bestFit="1" customWidth="1"/>
    <col min="6697" max="6697" width="19.38671875" bestFit="1" customWidth="1"/>
    <col min="6698" max="6698" width="19.71875" bestFit="1" customWidth="1"/>
    <col min="6950" max="6950" width="13.5" bestFit="1" customWidth="1"/>
    <col min="6951" max="6951" width="15.88671875" bestFit="1" customWidth="1"/>
    <col min="6952" max="6952" width="17.109375" bestFit="1" customWidth="1"/>
    <col min="6953" max="6953" width="19.38671875" bestFit="1" customWidth="1"/>
    <col min="6954" max="6954" width="19.71875" bestFit="1" customWidth="1"/>
    <col min="7206" max="7206" width="13.5" bestFit="1" customWidth="1"/>
    <col min="7207" max="7207" width="15.88671875" bestFit="1" customWidth="1"/>
    <col min="7208" max="7208" width="17.109375" bestFit="1" customWidth="1"/>
    <col min="7209" max="7209" width="19.38671875" bestFit="1" customWidth="1"/>
    <col min="7210" max="7210" width="19.71875" bestFit="1" customWidth="1"/>
    <col min="7462" max="7462" width="13.5" bestFit="1" customWidth="1"/>
    <col min="7463" max="7463" width="15.88671875" bestFit="1" customWidth="1"/>
    <col min="7464" max="7464" width="17.109375" bestFit="1" customWidth="1"/>
    <col min="7465" max="7465" width="19.38671875" bestFit="1" customWidth="1"/>
    <col min="7466" max="7466" width="19.71875" bestFit="1" customWidth="1"/>
    <col min="7718" max="7718" width="13.5" bestFit="1" customWidth="1"/>
    <col min="7719" max="7719" width="15.88671875" bestFit="1" customWidth="1"/>
    <col min="7720" max="7720" width="17.109375" bestFit="1" customWidth="1"/>
    <col min="7721" max="7721" width="19.38671875" bestFit="1" customWidth="1"/>
    <col min="7722" max="7722" width="19.71875" bestFit="1" customWidth="1"/>
    <col min="7974" max="7974" width="13.5" bestFit="1" customWidth="1"/>
    <col min="7975" max="7975" width="15.88671875" bestFit="1" customWidth="1"/>
    <col min="7976" max="7976" width="17.109375" bestFit="1" customWidth="1"/>
    <col min="7977" max="7977" width="19.38671875" bestFit="1" customWidth="1"/>
    <col min="7978" max="7978" width="19.71875" bestFit="1" customWidth="1"/>
    <col min="8230" max="8230" width="13.5" bestFit="1" customWidth="1"/>
    <col min="8231" max="8231" width="15.88671875" bestFit="1" customWidth="1"/>
    <col min="8232" max="8232" width="17.109375" bestFit="1" customWidth="1"/>
    <col min="8233" max="8233" width="19.38671875" bestFit="1" customWidth="1"/>
    <col min="8234" max="8234" width="19.71875" bestFit="1" customWidth="1"/>
    <col min="8486" max="8486" width="13.5" bestFit="1" customWidth="1"/>
    <col min="8487" max="8487" width="15.88671875" bestFit="1" customWidth="1"/>
    <col min="8488" max="8488" width="17.109375" bestFit="1" customWidth="1"/>
    <col min="8489" max="8489" width="19.38671875" bestFit="1" customWidth="1"/>
    <col min="8490" max="8490" width="19.71875" bestFit="1" customWidth="1"/>
    <col min="8742" max="8742" width="13.5" bestFit="1" customWidth="1"/>
    <col min="8743" max="8743" width="15.88671875" bestFit="1" customWidth="1"/>
    <col min="8744" max="8744" width="17.109375" bestFit="1" customWidth="1"/>
    <col min="8745" max="8745" width="19.38671875" bestFit="1" customWidth="1"/>
    <col min="8746" max="8746" width="19.71875" bestFit="1" customWidth="1"/>
    <col min="8998" max="8998" width="13.5" bestFit="1" customWidth="1"/>
    <col min="8999" max="8999" width="15.88671875" bestFit="1" customWidth="1"/>
    <col min="9000" max="9000" width="17.109375" bestFit="1" customWidth="1"/>
    <col min="9001" max="9001" width="19.38671875" bestFit="1" customWidth="1"/>
    <col min="9002" max="9002" width="19.71875" bestFit="1" customWidth="1"/>
    <col min="9254" max="9254" width="13.5" bestFit="1" customWidth="1"/>
    <col min="9255" max="9255" width="15.88671875" bestFit="1" customWidth="1"/>
    <col min="9256" max="9256" width="17.109375" bestFit="1" customWidth="1"/>
    <col min="9257" max="9257" width="19.38671875" bestFit="1" customWidth="1"/>
    <col min="9258" max="9258" width="19.71875" bestFit="1" customWidth="1"/>
    <col min="9510" max="9510" width="13.5" bestFit="1" customWidth="1"/>
    <col min="9511" max="9511" width="15.88671875" bestFit="1" customWidth="1"/>
    <col min="9512" max="9512" width="17.109375" bestFit="1" customWidth="1"/>
    <col min="9513" max="9513" width="19.38671875" bestFit="1" customWidth="1"/>
    <col min="9514" max="9514" width="19.71875" bestFit="1" customWidth="1"/>
    <col min="9766" max="9766" width="13.5" bestFit="1" customWidth="1"/>
    <col min="9767" max="9767" width="15.88671875" bestFit="1" customWidth="1"/>
    <col min="9768" max="9768" width="17.109375" bestFit="1" customWidth="1"/>
    <col min="9769" max="9769" width="19.38671875" bestFit="1" customWidth="1"/>
    <col min="9770" max="9770" width="19.71875" bestFit="1" customWidth="1"/>
    <col min="10022" max="10022" width="13.5" bestFit="1" customWidth="1"/>
    <col min="10023" max="10023" width="15.88671875" bestFit="1" customWidth="1"/>
    <col min="10024" max="10024" width="17.109375" bestFit="1" customWidth="1"/>
    <col min="10025" max="10025" width="19.38671875" bestFit="1" customWidth="1"/>
    <col min="10026" max="10026" width="19.71875" bestFit="1" customWidth="1"/>
    <col min="10278" max="10278" width="13.5" bestFit="1" customWidth="1"/>
    <col min="10279" max="10279" width="15.88671875" bestFit="1" customWidth="1"/>
    <col min="10280" max="10280" width="17.109375" bestFit="1" customWidth="1"/>
    <col min="10281" max="10281" width="19.38671875" bestFit="1" customWidth="1"/>
    <col min="10282" max="10282" width="19.71875" bestFit="1" customWidth="1"/>
    <col min="10534" max="10534" width="13.5" bestFit="1" customWidth="1"/>
    <col min="10535" max="10535" width="15.88671875" bestFit="1" customWidth="1"/>
    <col min="10536" max="10536" width="17.109375" bestFit="1" customWidth="1"/>
    <col min="10537" max="10537" width="19.38671875" bestFit="1" customWidth="1"/>
    <col min="10538" max="10538" width="19.71875" bestFit="1" customWidth="1"/>
    <col min="10790" max="10790" width="13.5" bestFit="1" customWidth="1"/>
    <col min="10791" max="10791" width="15.88671875" bestFit="1" customWidth="1"/>
    <col min="10792" max="10792" width="17.109375" bestFit="1" customWidth="1"/>
    <col min="10793" max="10793" width="19.38671875" bestFit="1" customWidth="1"/>
    <col min="10794" max="10794" width="19.71875" bestFit="1" customWidth="1"/>
    <col min="11046" max="11046" width="13.5" bestFit="1" customWidth="1"/>
    <col min="11047" max="11047" width="15.88671875" bestFit="1" customWidth="1"/>
    <col min="11048" max="11048" width="17.109375" bestFit="1" customWidth="1"/>
    <col min="11049" max="11049" width="19.38671875" bestFit="1" customWidth="1"/>
    <col min="11050" max="11050" width="19.71875" bestFit="1" customWidth="1"/>
    <col min="11302" max="11302" width="13.5" bestFit="1" customWidth="1"/>
    <col min="11303" max="11303" width="15.88671875" bestFit="1" customWidth="1"/>
    <col min="11304" max="11304" width="17.109375" bestFit="1" customWidth="1"/>
    <col min="11305" max="11305" width="19.38671875" bestFit="1" customWidth="1"/>
    <col min="11306" max="11306" width="19.71875" bestFit="1" customWidth="1"/>
    <col min="11558" max="11558" width="13.5" bestFit="1" customWidth="1"/>
    <col min="11559" max="11559" width="15.88671875" bestFit="1" customWidth="1"/>
    <col min="11560" max="11560" width="17.109375" bestFit="1" customWidth="1"/>
    <col min="11561" max="11561" width="19.38671875" bestFit="1" customWidth="1"/>
    <col min="11562" max="11562" width="19.71875" bestFit="1" customWidth="1"/>
    <col min="11814" max="11814" width="13.5" bestFit="1" customWidth="1"/>
    <col min="11815" max="11815" width="15.88671875" bestFit="1" customWidth="1"/>
    <col min="11816" max="11816" width="17.109375" bestFit="1" customWidth="1"/>
    <col min="11817" max="11817" width="19.38671875" bestFit="1" customWidth="1"/>
    <col min="11818" max="11818" width="19.71875" bestFit="1" customWidth="1"/>
    <col min="12070" max="12070" width="13.5" bestFit="1" customWidth="1"/>
    <col min="12071" max="12071" width="15.88671875" bestFit="1" customWidth="1"/>
    <col min="12072" max="12072" width="17.109375" bestFit="1" customWidth="1"/>
    <col min="12073" max="12073" width="19.38671875" bestFit="1" customWidth="1"/>
    <col min="12074" max="12074" width="19.71875" bestFit="1" customWidth="1"/>
    <col min="12326" max="12326" width="13.5" bestFit="1" customWidth="1"/>
    <col min="12327" max="12327" width="15.88671875" bestFit="1" customWidth="1"/>
    <col min="12328" max="12328" width="17.109375" bestFit="1" customWidth="1"/>
    <col min="12329" max="12329" width="19.38671875" bestFit="1" customWidth="1"/>
    <col min="12330" max="12330" width="19.71875" bestFit="1" customWidth="1"/>
    <col min="12582" max="12582" width="13.5" bestFit="1" customWidth="1"/>
    <col min="12583" max="12583" width="15.88671875" bestFit="1" customWidth="1"/>
    <col min="12584" max="12584" width="17.109375" bestFit="1" customWidth="1"/>
    <col min="12585" max="12585" width="19.38671875" bestFit="1" customWidth="1"/>
    <col min="12586" max="12586" width="19.71875" bestFit="1" customWidth="1"/>
    <col min="12838" max="12838" width="13.5" bestFit="1" customWidth="1"/>
    <col min="12839" max="12839" width="15.88671875" bestFit="1" customWidth="1"/>
    <col min="12840" max="12840" width="17.109375" bestFit="1" customWidth="1"/>
    <col min="12841" max="12841" width="19.38671875" bestFit="1" customWidth="1"/>
    <col min="12842" max="12842" width="19.71875" bestFit="1" customWidth="1"/>
    <col min="13094" max="13094" width="13.5" bestFit="1" customWidth="1"/>
    <col min="13095" max="13095" width="15.88671875" bestFit="1" customWidth="1"/>
    <col min="13096" max="13096" width="17.109375" bestFit="1" customWidth="1"/>
    <col min="13097" max="13097" width="19.38671875" bestFit="1" customWidth="1"/>
    <col min="13098" max="13098" width="19.71875" bestFit="1" customWidth="1"/>
    <col min="13350" max="13350" width="13.5" bestFit="1" customWidth="1"/>
    <col min="13351" max="13351" width="15.88671875" bestFit="1" customWidth="1"/>
    <col min="13352" max="13352" width="17.109375" bestFit="1" customWidth="1"/>
    <col min="13353" max="13353" width="19.38671875" bestFit="1" customWidth="1"/>
    <col min="13354" max="13354" width="19.71875" bestFit="1" customWidth="1"/>
    <col min="13606" max="13606" width="13.5" bestFit="1" customWidth="1"/>
    <col min="13607" max="13607" width="15.88671875" bestFit="1" customWidth="1"/>
    <col min="13608" max="13608" width="17.109375" bestFit="1" customWidth="1"/>
    <col min="13609" max="13609" width="19.38671875" bestFit="1" customWidth="1"/>
    <col min="13610" max="13610" width="19.71875" bestFit="1" customWidth="1"/>
    <col min="13862" max="13862" width="13.5" bestFit="1" customWidth="1"/>
    <col min="13863" max="13863" width="15.88671875" bestFit="1" customWidth="1"/>
    <col min="13864" max="13864" width="17.109375" bestFit="1" customWidth="1"/>
    <col min="13865" max="13865" width="19.38671875" bestFit="1" customWidth="1"/>
    <col min="13866" max="13866" width="19.71875" bestFit="1" customWidth="1"/>
    <col min="14118" max="14118" width="13.5" bestFit="1" customWidth="1"/>
    <col min="14119" max="14119" width="15.88671875" bestFit="1" customWidth="1"/>
    <col min="14120" max="14120" width="17.109375" bestFit="1" customWidth="1"/>
    <col min="14121" max="14121" width="19.38671875" bestFit="1" customWidth="1"/>
    <col min="14122" max="14122" width="19.71875" bestFit="1" customWidth="1"/>
    <col min="14374" max="14374" width="13.5" bestFit="1" customWidth="1"/>
    <col min="14375" max="14375" width="15.88671875" bestFit="1" customWidth="1"/>
    <col min="14376" max="14376" width="17.109375" bestFit="1" customWidth="1"/>
    <col min="14377" max="14377" width="19.38671875" bestFit="1" customWidth="1"/>
    <col min="14378" max="14378" width="19.71875" bestFit="1" customWidth="1"/>
    <col min="14630" max="14630" width="13.5" bestFit="1" customWidth="1"/>
    <col min="14631" max="14631" width="15.88671875" bestFit="1" customWidth="1"/>
    <col min="14632" max="14632" width="17.109375" bestFit="1" customWidth="1"/>
    <col min="14633" max="14633" width="19.38671875" bestFit="1" customWidth="1"/>
    <col min="14634" max="14634" width="19.71875" bestFit="1" customWidth="1"/>
    <col min="14886" max="14886" width="13.5" bestFit="1" customWidth="1"/>
    <col min="14887" max="14887" width="15.88671875" bestFit="1" customWidth="1"/>
    <col min="14888" max="14888" width="17.109375" bestFit="1" customWidth="1"/>
    <col min="14889" max="14889" width="19.38671875" bestFit="1" customWidth="1"/>
    <col min="14890" max="14890" width="19.71875" bestFit="1" customWidth="1"/>
    <col min="15142" max="15142" width="13.5" bestFit="1" customWidth="1"/>
    <col min="15143" max="15143" width="15.88671875" bestFit="1" customWidth="1"/>
    <col min="15144" max="15144" width="17.109375" bestFit="1" customWidth="1"/>
    <col min="15145" max="15145" width="19.38671875" bestFit="1" customWidth="1"/>
    <col min="15146" max="15146" width="19.71875" bestFit="1" customWidth="1"/>
    <col min="15398" max="15398" width="13.5" bestFit="1" customWidth="1"/>
    <col min="15399" max="15399" width="15.88671875" bestFit="1" customWidth="1"/>
    <col min="15400" max="15400" width="17.109375" bestFit="1" customWidth="1"/>
    <col min="15401" max="15401" width="19.38671875" bestFit="1" customWidth="1"/>
    <col min="15402" max="15402" width="19.71875" bestFit="1" customWidth="1"/>
    <col min="15654" max="15654" width="13.5" bestFit="1" customWidth="1"/>
    <col min="15655" max="15655" width="15.88671875" bestFit="1" customWidth="1"/>
    <col min="15656" max="15656" width="17.109375" bestFit="1" customWidth="1"/>
    <col min="15657" max="15657" width="19.38671875" bestFit="1" customWidth="1"/>
    <col min="15658" max="15658" width="19.71875" bestFit="1" customWidth="1"/>
    <col min="15910" max="15910" width="13.5" bestFit="1" customWidth="1"/>
    <col min="15911" max="15911" width="15.88671875" bestFit="1" customWidth="1"/>
    <col min="15912" max="15912" width="17.109375" bestFit="1" customWidth="1"/>
    <col min="15913" max="15913" width="19.38671875" bestFit="1" customWidth="1"/>
    <col min="15914" max="15914" width="19.71875" bestFit="1" customWidth="1"/>
    <col min="16166" max="16166" width="13.5" bestFit="1" customWidth="1"/>
    <col min="16167" max="16167" width="15.88671875" bestFit="1" customWidth="1"/>
    <col min="16168" max="16168" width="17.109375" bestFit="1" customWidth="1"/>
    <col min="16169" max="16169" width="19.38671875" bestFit="1" customWidth="1"/>
    <col min="16170" max="16170" width="19.71875" bestFit="1" customWidth="1"/>
  </cols>
  <sheetData>
    <row r="1" spans="1:42" x14ac:dyDescent="0.45">
      <c r="A1" s="1"/>
      <c r="B1" s="1"/>
      <c r="C1" s="1"/>
      <c r="D1" s="1"/>
      <c r="E1" s="1"/>
      <c r="F1" s="1"/>
      <c r="G1" s="1"/>
      <c r="H1" s="2" t="s">
        <v>0</v>
      </c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3" t="s">
        <v>1</v>
      </c>
      <c r="AC1" s="4">
        <v>2</v>
      </c>
      <c r="AD1" s="1"/>
      <c r="AE1" s="1"/>
      <c r="AF1" s="1"/>
      <c r="AG1" s="1"/>
      <c r="AH1" s="1"/>
      <c r="AI1" s="1"/>
      <c r="AJ1" s="1"/>
      <c r="AK1" s="5">
        <f>SUM($AK$10:$AK$116)*1000000</f>
        <v>1.6507684108546528E-5</v>
      </c>
      <c r="AL1" s="1"/>
      <c r="AM1" s="1"/>
      <c r="AN1" s="1"/>
      <c r="AO1" s="1"/>
      <c r="AP1" s="1"/>
    </row>
    <row r="2" spans="1:42" x14ac:dyDescent="0.45">
      <c r="A2" s="2" t="s">
        <v>2</v>
      </c>
      <c r="B2" s="2" t="s">
        <v>3</v>
      </c>
      <c r="C2" s="2" t="s">
        <v>4</v>
      </c>
      <c r="D2" s="2" t="s">
        <v>5</v>
      </c>
      <c r="E2" s="2" t="s">
        <v>6</v>
      </c>
      <c r="F2" s="6" t="s">
        <v>7</v>
      </c>
      <c r="G2" s="1"/>
      <c r="H2" s="2" t="s">
        <v>3</v>
      </c>
      <c r="I2" s="2" t="s">
        <v>8</v>
      </c>
      <c r="J2" s="2" t="s">
        <v>9</v>
      </c>
      <c r="K2" s="1"/>
      <c r="L2" s="2" t="s">
        <v>2</v>
      </c>
      <c r="M2" s="2" t="s">
        <v>10</v>
      </c>
      <c r="N2" s="2" t="s">
        <v>11</v>
      </c>
      <c r="O2" s="2" t="s">
        <v>12</v>
      </c>
      <c r="P2" s="2" t="s">
        <v>13</v>
      </c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 t="s">
        <v>2</v>
      </c>
      <c r="AC2" s="2" t="s">
        <v>10</v>
      </c>
      <c r="AD2" s="2" t="s">
        <v>11</v>
      </c>
      <c r="AE2" s="2" t="s">
        <v>12</v>
      </c>
      <c r="AF2" s="2" t="s">
        <v>13</v>
      </c>
      <c r="AG2" s="1"/>
      <c r="AH2" s="1"/>
      <c r="AI2" s="1"/>
      <c r="AJ2" s="1"/>
      <c r="AK2" s="1"/>
      <c r="AL2" s="1"/>
      <c r="AM2" s="1"/>
      <c r="AN2" s="1"/>
      <c r="AO2" s="1"/>
      <c r="AP2" s="1"/>
    </row>
    <row r="3" spans="1:42" x14ac:dyDescent="0.45">
      <c r="A3" s="2" t="s">
        <v>14</v>
      </c>
      <c r="B3" s="2" t="s">
        <v>14</v>
      </c>
      <c r="C3" s="2" t="s">
        <v>14</v>
      </c>
      <c r="D3" s="2" t="s">
        <v>14</v>
      </c>
      <c r="E3" s="2" t="s">
        <v>14</v>
      </c>
      <c r="F3" s="2" t="s">
        <v>14</v>
      </c>
      <c r="G3" s="1"/>
      <c r="H3" s="2" t="s">
        <v>14</v>
      </c>
      <c r="I3" s="2" t="s">
        <v>14</v>
      </c>
      <c r="J3" s="2">
        <v>0.5</v>
      </c>
      <c r="K3" s="1"/>
      <c r="L3" s="2" t="s">
        <v>14</v>
      </c>
      <c r="M3" s="2" t="s">
        <v>14</v>
      </c>
      <c r="N3" s="2" t="s">
        <v>14</v>
      </c>
      <c r="O3" s="2" t="s">
        <v>14</v>
      </c>
      <c r="P3" s="2" t="s">
        <v>14</v>
      </c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 t="s">
        <v>14</v>
      </c>
      <c r="AC3" s="2" t="s">
        <v>14</v>
      </c>
      <c r="AD3" s="2" t="s">
        <v>14</v>
      </c>
      <c r="AE3" s="2" t="s">
        <v>14</v>
      </c>
      <c r="AF3" s="2" t="s">
        <v>14</v>
      </c>
      <c r="AG3" s="1"/>
      <c r="AH3" s="1"/>
      <c r="AI3" s="1"/>
      <c r="AJ3" s="1"/>
      <c r="AK3" s="1"/>
      <c r="AL3" s="1"/>
      <c r="AM3" s="1"/>
      <c r="AN3" s="1"/>
      <c r="AO3" s="1"/>
      <c r="AP3" s="1"/>
    </row>
    <row r="4" spans="1:42" x14ac:dyDescent="0.4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3" t="s">
        <v>15</v>
      </c>
      <c r="M4" s="7">
        <v>0.02</v>
      </c>
      <c r="N4" s="8" t="s">
        <v>16</v>
      </c>
      <c r="O4" s="3" t="s">
        <v>17</v>
      </c>
      <c r="P4" s="9">
        <f>(1+M5)/(1+M4)</f>
        <v>0.99019607843137258</v>
      </c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3" t="s">
        <v>15</v>
      </c>
      <c r="AC4" s="10">
        <f>+M4</f>
        <v>0.02</v>
      </c>
      <c r="AD4" s="8" t="s">
        <v>16</v>
      </c>
      <c r="AE4" s="3" t="s">
        <v>17</v>
      </c>
      <c r="AF4" s="9">
        <f>((1+AC5)/(1+AC4))^AC1</f>
        <v>0.980488273740869</v>
      </c>
      <c r="AG4" s="1"/>
      <c r="AH4" s="1"/>
      <c r="AI4" s="1"/>
      <c r="AJ4" s="1"/>
      <c r="AK4" s="1"/>
      <c r="AL4" s="1"/>
      <c r="AM4" s="1"/>
      <c r="AN4" s="1"/>
      <c r="AO4" s="1"/>
      <c r="AP4" s="1"/>
    </row>
    <row r="5" spans="1:42" x14ac:dyDescent="0.45">
      <c r="A5" s="11" t="s">
        <v>18</v>
      </c>
      <c r="B5" s="1"/>
      <c r="C5" s="1"/>
      <c r="D5" s="1"/>
      <c r="E5" s="1"/>
      <c r="F5" s="1"/>
      <c r="G5" s="1"/>
      <c r="H5" s="1"/>
      <c r="I5" s="1"/>
      <c r="J5" s="1"/>
      <c r="K5" s="1"/>
      <c r="L5" s="3" t="s">
        <v>19</v>
      </c>
      <c r="M5" s="7">
        <v>0.01</v>
      </c>
      <c r="N5" s="8" t="s">
        <v>16</v>
      </c>
      <c r="O5" s="3" t="s">
        <v>20</v>
      </c>
      <c r="P5" s="10">
        <f>(1+M4)/(1+M5)-1</f>
        <v>9.9009900990099098E-3</v>
      </c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3" t="s">
        <v>19</v>
      </c>
      <c r="AC5" s="10">
        <f>+M5</f>
        <v>0.01</v>
      </c>
      <c r="AD5" s="8" t="s">
        <v>16</v>
      </c>
      <c r="AE5" s="3" t="s">
        <v>20</v>
      </c>
      <c r="AF5" s="10">
        <f>((1+AC4)/(1+AC5))^AC1-1</f>
        <v>1.9900009802960472E-2</v>
      </c>
      <c r="AG5" s="1"/>
      <c r="AH5" s="1"/>
      <c r="AI5" s="1"/>
      <c r="AJ5" s="11" t="s">
        <v>21</v>
      </c>
      <c r="AK5" s="1"/>
      <c r="AL5" s="1"/>
      <c r="AM5" s="1"/>
      <c r="AN5" s="1"/>
      <c r="AO5" s="1"/>
      <c r="AP5" s="1"/>
    </row>
    <row r="6" spans="1:42" x14ac:dyDescent="0.45">
      <c r="A6" s="11" t="s">
        <v>22</v>
      </c>
      <c r="B6" s="1"/>
      <c r="C6" s="1"/>
      <c r="D6" s="1"/>
      <c r="E6" s="1"/>
      <c r="F6" s="1"/>
      <c r="G6" s="1"/>
      <c r="H6" s="1"/>
      <c r="I6" s="1"/>
      <c r="J6" s="1"/>
      <c r="K6" s="1"/>
      <c r="L6" s="11" t="s">
        <v>23</v>
      </c>
      <c r="M6" s="12">
        <f>ABS(P4-(1+P5)^-1)*1000000</f>
        <v>0</v>
      </c>
      <c r="N6" s="1"/>
      <c r="O6" s="13" t="s">
        <v>24</v>
      </c>
      <c r="P6" s="14">
        <f>+P5/(1+P5)</f>
        <v>9.8039215686274595E-3</v>
      </c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1" t="s">
        <v>23</v>
      </c>
      <c r="AC6" s="12">
        <f>ABS(AF4-(1+AF5)^-1)*1000000</f>
        <v>1.1102230246251565E-10</v>
      </c>
      <c r="AD6" s="1"/>
      <c r="AE6" s="13" t="s">
        <v>24</v>
      </c>
      <c r="AF6" s="14">
        <f>+AF5/(1+AF5)</f>
        <v>1.9511726259131081E-2</v>
      </c>
      <c r="AG6" s="1"/>
      <c r="AH6" s="11" t="s">
        <v>25</v>
      </c>
      <c r="AI6" s="11" t="s">
        <v>26</v>
      </c>
      <c r="AJ6" s="11" t="s">
        <v>26</v>
      </c>
      <c r="AK6" s="11" t="s">
        <v>27</v>
      </c>
      <c r="AL6" s="11" t="str">
        <f>CONCATENATE(AI6,AC1)</f>
        <v>WholeLifeInsurance2</v>
      </c>
      <c r="AM6" s="11" t="str">
        <f>CONCATENATE("Var(",AI6,")")</f>
        <v>Var(WholeLifeInsurance)</v>
      </c>
      <c r="AN6" s="11" t="str">
        <f>CONCATENATE("Var(",AH6,")")</f>
        <v>Var(WholeLifeAnnuityDue)</v>
      </c>
      <c r="AO6" s="11" t="str">
        <f>CONCATENATE("StdDev(",AH6,")")</f>
        <v>StdDev(WholeLifeAnnuityDue)</v>
      </c>
      <c r="AP6" s="11" t="str">
        <f>CONCATENATE("CoefVar(",AH6,")")</f>
        <v>CoefVar(WholeLifeAnnuityDue)</v>
      </c>
    </row>
    <row r="7" spans="1:42" x14ac:dyDescent="0.4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</row>
    <row r="8" spans="1:42" x14ac:dyDescent="0.4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5"/>
      <c r="AF8" s="15"/>
      <c r="AG8" s="1"/>
      <c r="AH8" s="1"/>
      <c r="AI8" s="1"/>
      <c r="AJ8" s="1"/>
      <c r="AK8" s="1"/>
      <c r="AL8" s="1"/>
      <c r="AM8" s="1"/>
      <c r="AN8" s="1"/>
      <c r="AO8" s="1"/>
      <c r="AP8" s="1"/>
    </row>
    <row r="9" spans="1:42" x14ac:dyDescent="0.4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5"/>
      <c r="AF9" s="15"/>
      <c r="AG9" s="1"/>
      <c r="AH9" s="1"/>
      <c r="AI9" s="1"/>
      <c r="AJ9" s="1"/>
      <c r="AK9" s="1"/>
      <c r="AL9" s="1"/>
      <c r="AM9" s="1"/>
      <c r="AN9" s="1"/>
      <c r="AO9" s="1"/>
      <c r="AP9" s="1"/>
    </row>
    <row r="10" spans="1:42" x14ac:dyDescent="0.45">
      <c r="A10" s="16">
        <v>0</v>
      </c>
      <c r="B10" s="17">
        <v>100000</v>
      </c>
      <c r="C10" s="18">
        <f t="shared" ref="C10:C73" si="0">+B10-B11</f>
        <v>1168</v>
      </c>
      <c r="D10" s="19">
        <v>1.1679999999999999E-2</v>
      </c>
      <c r="E10" s="20">
        <f t="shared" ref="E10:E73" si="1">1-D10</f>
        <v>0.98831999999999998</v>
      </c>
      <c r="F10" s="21">
        <f t="shared" ref="F10:F73" si="2">0.5*(C9+C10)/B10</f>
        <v>5.8399999999999997E-3</v>
      </c>
      <c r="G10" s="1"/>
      <c r="H10" s="22">
        <f t="shared" ref="H10:H73" si="3">+H11+B10</f>
        <v>7750362.9984832639</v>
      </c>
      <c r="I10" s="19">
        <f>+H11/B10</f>
        <v>76.503629984832642</v>
      </c>
      <c r="J10" s="23">
        <f>I10+0.5</f>
        <v>77.003629984832642</v>
      </c>
      <c r="K10" s="1"/>
      <c r="L10" s="3">
        <f t="shared" ref="L10:L73" si="4">A10</f>
        <v>0</v>
      </c>
      <c r="M10" s="24">
        <f t="shared" ref="M10:M73" si="5">B10*$P$4^L10</f>
        <v>100000</v>
      </c>
      <c r="N10" s="24">
        <f t="shared" ref="N10:N73" si="6">N11+M10</f>
        <v>5375897.0736125149</v>
      </c>
      <c r="O10" s="24">
        <f t="shared" ref="O10:O73" si="7">C10*$P$4^(L10+1)</f>
        <v>1156.5490196078431</v>
      </c>
      <c r="P10" s="24">
        <f t="shared" ref="P10:P73" si="8">P11+O10</f>
        <v>47295.126729289346</v>
      </c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3">
        <f>L10</f>
        <v>0</v>
      </c>
      <c r="AC10" s="24">
        <f>B10*$AF$4^AB10</f>
        <v>100000</v>
      </c>
      <c r="AD10" s="24">
        <f t="shared" ref="AD10:AD73" si="9">AD11+AC10</f>
        <v>3933780.1590570915</v>
      </c>
      <c r="AE10" s="24">
        <f>C10*$AF$4^(AB10+1)</f>
        <v>1145.210303729335</v>
      </c>
      <c r="AF10" s="24">
        <f t="shared" ref="AF10:AF73" si="10">AF11+AE10</f>
        <v>23245.158372877224</v>
      </c>
      <c r="AG10" s="1"/>
      <c r="AH10" s="25">
        <f t="shared" ref="AH10:AH73" si="11">N10/M10</f>
        <v>53.75897073612515</v>
      </c>
      <c r="AI10" s="1">
        <f>P10/M10/(1+$AC$5)</f>
        <v>0.46826858147811229</v>
      </c>
      <c r="AJ10" s="1">
        <f>(1-AI10*(1+$AC$5))/$P$6</f>
        <v>53.758970736124816</v>
      </c>
      <c r="AK10" s="26">
        <f>ABS(AH10-AJ10)</f>
        <v>3.3395508580724709E-13</v>
      </c>
      <c r="AL10" s="1">
        <f>AF10/AC10/(1+$AC$5)^2</f>
        <v>0.22787136920769752</v>
      </c>
      <c r="AM10" s="1">
        <f>(AL10-AI10^2)</f>
        <v>8.5959048081740153E-3</v>
      </c>
      <c r="AN10" s="1">
        <f>(AL10-AI10^2)/$P$6^2</f>
        <v>89.431793624242303</v>
      </c>
      <c r="AO10" s="1">
        <f>AN10^0.5</f>
        <v>9.4568384581868745</v>
      </c>
      <c r="AP10" s="1">
        <f>+AO10/AH10</f>
        <v>0.17591182138894698</v>
      </c>
    </row>
    <row r="11" spans="1:42" x14ac:dyDescent="0.45">
      <c r="A11" s="16">
        <f t="shared" ref="A11:A74" si="12">+A10+1</f>
        <v>1</v>
      </c>
      <c r="B11" s="17">
        <f t="shared" ref="B11:B74" si="13">+B10*(1-D10)</f>
        <v>98832</v>
      </c>
      <c r="C11" s="18">
        <f t="shared" si="0"/>
        <v>95.999998689600034</v>
      </c>
      <c r="D11" s="19">
        <v>9.7134529999999997E-4</v>
      </c>
      <c r="E11" s="20">
        <f t="shared" si="1"/>
        <v>0.99902865470000002</v>
      </c>
      <c r="F11" s="21">
        <f t="shared" si="2"/>
        <v>6.3946899723247531E-3</v>
      </c>
      <c r="G11" s="1"/>
      <c r="H11" s="22">
        <f t="shared" si="3"/>
        <v>7650362.9984832639</v>
      </c>
      <c r="I11" s="19">
        <f t="shared" ref="I11:I74" si="14">+H12/B11</f>
        <v>76.407752534434835</v>
      </c>
      <c r="J11" s="23">
        <f t="shared" ref="J11:J74" si="15">I11+0.5</f>
        <v>76.907752534434835</v>
      </c>
      <c r="K11" s="1"/>
      <c r="L11" s="3">
        <f t="shared" si="4"/>
        <v>1</v>
      </c>
      <c r="M11" s="24">
        <f t="shared" si="5"/>
        <v>97863.058823529413</v>
      </c>
      <c r="N11" s="24">
        <f t="shared" si="6"/>
        <v>5275897.0736125149</v>
      </c>
      <c r="O11" s="24">
        <f t="shared" si="7"/>
        <v>94.126872994291617</v>
      </c>
      <c r="P11" s="24">
        <f t="shared" si="8"/>
        <v>46138.5777096815</v>
      </c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3">
        <f t="shared" ref="AB11:AB74" si="16">L11</f>
        <v>1</v>
      </c>
      <c r="AC11" s="24">
        <f t="shared" ref="AC11:AC74" si="17">B11*$AF$4^AB11</f>
        <v>96903.617070357563</v>
      </c>
      <c r="AD11" s="24">
        <f t="shared" si="9"/>
        <v>3833780.1590570915</v>
      </c>
      <c r="AE11" s="24">
        <f t="shared" ref="AE11:AE74" si="18">C11*$AF$4^(AB11+1)</f>
        <v>92.290295214799016</v>
      </c>
      <c r="AF11" s="24">
        <f t="shared" si="10"/>
        <v>22099.948069147889</v>
      </c>
      <c r="AG11" s="1"/>
      <c r="AH11" s="25">
        <f t="shared" si="11"/>
        <v>53.911017467032416</v>
      </c>
      <c r="AI11" s="1">
        <f t="shared" ref="AI11:AI74" si="19">P11/M11/(1+$AC$5)</f>
        <v>0.46679268620624992</v>
      </c>
      <c r="AJ11" s="1">
        <f t="shared" ref="AJ11:AJ74" si="20">(1-AI11*(1+$AC$5))/$P$6</f>
        <v>53.911017467032082</v>
      </c>
      <c r="AK11" s="26">
        <f t="shared" ref="AK11:AK74" si="21">ABS(AH11-AJ11)</f>
        <v>3.3395508580724709E-13</v>
      </c>
      <c r="AL11" s="1">
        <f t="shared" ref="AL11:AL74" si="22">AF11/AC11/(1+$AC$5)^2</f>
        <v>0.22356742131260307</v>
      </c>
      <c r="AM11" s="1">
        <f t="shared" ref="AM11:AM74" si="23">(AL11-AI11^2)</f>
        <v>5.6720094169565582E-3</v>
      </c>
      <c r="AN11" s="1">
        <f t="shared" ref="AN11:AN74" si="24">(AL11-AI11^2)/$P$6^2</f>
        <v>59.011585974015929</v>
      </c>
      <c r="AO11" s="1">
        <f t="shared" ref="AO11:AO74" si="25">AN11^0.5</f>
        <v>7.6818998935169631</v>
      </c>
      <c r="AP11" s="1">
        <f t="shared" ref="AP11:AP74" si="26">+AO11/AH11</f>
        <v>0.14249220761256429</v>
      </c>
    </row>
    <row r="12" spans="1:42" x14ac:dyDescent="0.45">
      <c r="A12" s="16">
        <f t="shared" si="12"/>
        <v>2</v>
      </c>
      <c r="B12" s="17">
        <f t="shared" si="13"/>
        <v>98736.0000013104</v>
      </c>
      <c r="C12" s="18">
        <f t="shared" si="0"/>
        <v>59.000002882385161</v>
      </c>
      <c r="D12" s="19">
        <v>5.9755310000000005E-4</v>
      </c>
      <c r="E12" s="20">
        <f t="shared" si="1"/>
        <v>0.99940244690000002</v>
      </c>
      <c r="F12" s="21">
        <f t="shared" si="2"/>
        <v>7.8492141452929062E-4</v>
      </c>
      <c r="G12" s="1"/>
      <c r="H12" s="22">
        <f t="shared" si="3"/>
        <v>7551530.9984832639</v>
      </c>
      <c r="I12" s="19">
        <f t="shared" si="14"/>
        <v>75.482043007444517</v>
      </c>
      <c r="J12" s="23">
        <f t="shared" si="15"/>
        <v>75.982043007444517</v>
      </c>
      <c r="K12" s="1"/>
      <c r="L12" s="3">
        <f t="shared" si="4"/>
        <v>2</v>
      </c>
      <c r="M12" s="24">
        <f t="shared" si="5"/>
        <v>96809.49019736328</v>
      </c>
      <c r="N12" s="24">
        <f t="shared" si="6"/>
        <v>5178034.0147889853</v>
      </c>
      <c r="O12" s="24">
        <f t="shared" si="7"/>
        <v>57.281665771200672</v>
      </c>
      <c r="P12" s="24">
        <f t="shared" si="8"/>
        <v>46044.450836687211</v>
      </c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3">
        <f t="shared" si="16"/>
        <v>2</v>
      </c>
      <c r="AC12" s="24">
        <f t="shared" si="17"/>
        <v>94920.569925346295</v>
      </c>
      <c r="AD12" s="24">
        <f t="shared" si="9"/>
        <v>3736876.5419867337</v>
      </c>
      <c r="AE12" s="24">
        <f t="shared" si="18"/>
        <v>55.613374122447091</v>
      </c>
      <c r="AF12" s="24">
        <f t="shared" si="10"/>
        <v>22007.65777393309</v>
      </c>
      <c r="AG12" s="1"/>
      <c r="AH12" s="25">
        <f t="shared" si="11"/>
        <v>53.486843120779241</v>
      </c>
      <c r="AI12" s="1">
        <f t="shared" si="19"/>
        <v>0.47091008424792308</v>
      </c>
      <c r="AJ12" s="1">
        <f t="shared" si="20"/>
        <v>53.486843120778914</v>
      </c>
      <c r="AK12" s="26">
        <f t="shared" si="21"/>
        <v>3.2684965844964609E-13</v>
      </c>
      <c r="AL12" s="1">
        <f t="shared" si="22"/>
        <v>0.2272849814266158</v>
      </c>
      <c r="AM12" s="1">
        <f t="shared" si="23"/>
        <v>5.5286739802297979E-3</v>
      </c>
      <c r="AN12" s="1">
        <f t="shared" si="24"/>
        <v>57.520324090310716</v>
      </c>
      <c r="AO12" s="1">
        <f t="shared" si="25"/>
        <v>7.5842154564800381</v>
      </c>
      <c r="AP12" s="1">
        <f t="shared" si="26"/>
        <v>0.14179590744127554</v>
      </c>
    </row>
    <row r="13" spans="1:42" x14ac:dyDescent="0.45">
      <c r="A13" s="16">
        <f t="shared" si="12"/>
        <v>3</v>
      </c>
      <c r="B13" s="17">
        <f t="shared" si="13"/>
        <v>98676.999998428015</v>
      </c>
      <c r="C13" s="18">
        <f t="shared" si="0"/>
        <v>46.000000529078534</v>
      </c>
      <c r="D13" s="19">
        <v>4.661674E-4</v>
      </c>
      <c r="E13" s="20">
        <f t="shared" si="1"/>
        <v>0.99953383259999995</v>
      </c>
      <c r="F13" s="21">
        <f t="shared" si="2"/>
        <v>5.3203889160157087E-4</v>
      </c>
      <c r="G13" s="1"/>
      <c r="H13" s="22">
        <f t="shared" si="3"/>
        <v>7452794.9984819535</v>
      </c>
      <c r="I13" s="19">
        <f t="shared" si="14"/>
        <v>74.52717450470405</v>
      </c>
      <c r="J13" s="23">
        <f t="shared" si="15"/>
        <v>75.02717450470405</v>
      </c>
      <c r="K13" s="1"/>
      <c r="L13" s="3">
        <f t="shared" si="4"/>
        <v>3</v>
      </c>
      <c r="M13" s="24">
        <f t="shared" si="5"/>
        <v>95803.095882598325</v>
      </c>
      <c r="N13" s="24">
        <f t="shared" si="6"/>
        <v>5081224.5245916219</v>
      </c>
      <c r="O13" s="24">
        <f t="shared" si="7"/>
        <v>44.222434236027553</v>
      </c>
      <c r="P13" s="24">
        <f t="shared" si="8"/>
        <v>45987.169170916008</v>
      </c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3">
        <f t="shared" si="16"/>
        <v>3</v>
      </c>
      <c r="AC13" s="24">
        <f t="shared" si="17"/>
        <v>93012.892374479779</v>
      </c>
      <c r="AD13" s="24">
        <f t="shared" si="9"/>
        <v>3641955.9720613873</v>
      </c>
      <c r="AE13" s="24">
        <f t="shared" si="18"/>
        <v>42.513557984060235</v>
      </c>
      <c r="AF13" s="24">
        <f t="shared" si="10"/>
        <v>21952.044399810642</v>
      </c>
      <c r="AG13" s="1"/>
      <c r="AH13" s="25">
        <f t="shared" si="11"/>
        <v>53.038207980443516</v>
      </c>
      <c r="AI13" s="1">
        <f t="shared" si="19"/>
        <v>0.47526491962295431</v>
      </c>
      <c r="AJ13" s="1">
        <f t="shared" si="20"/>
        <v>53.038207980443197</v>
      </c>
      <c r="AK13" s="26">
        <f t="shared" si="21"/>
        <v>3.1974423109204508E-13</v>
      </c>
      <c r="AL13" s="1">
        <f t="shared" si="22"/>
        <v>0.2313604259815929</v>
      </c>
      <c r="AM13" s="1">
        <f t="shared" si="23"/>
        <v>5.4836821573796823E-3</v>
      </c>
      <c r="AN13" s="1">
        <f t="shared" si="24"/>
        <v>57.052229165378115</v>
      </c>
      <c r="AO13" s="1">
        <f t="shared" si="25"/>
        <v>7.5532926042473765</v>
      </c>
      <c r="AP13" s="1">
        <f t="shared" si="26"/>
        <v>0.14241228902440406</v>
      </c>
    </row>
    <row r="14" spans="1:42" x14ac:dyDescent="0.45">
      <c r="A14" s="16">
        <f t="shared" si="12"/>
        <v>4</v>
      </c>
      <c r="B14" s="17">
        <f t="shared" si="13"/>
        <v>98630.999997898936</v>
      </c>
      <c r="C14" s="18">
        <f t="shared" si="0"/>
        <v>37.99999934558582</v>
      </c>
      <c r="D14" s="19">
        <v>3.8527439999999999E-4</v>
      </c>
      <c r="E14" s="20">
        <f t="shared" si="1"/>
        <v>0.99961472559999998</v>
      </c>
      <c r="F14" s="21">
        <f t="shared" si="2"/>
        <v>4.2582960669796386E-4</v>
      </c>
      <c r="G14" s="1"/>
      <c r="H14" s="22">
        <f t="shared" si="3"/>
        <v>7354117.9984835256</v>
      </c>
      <c r="I14" s="19">
        <f t="shared" si="14"/>
        <v>73.561932847078353</v>
      </c>
      <c r="J14" s="23">
        <f t="shared" si="15"/>
        <v>74.061932847078353</v>
      </c>
      <c r="K14" s="1"/>
      <c r="L14" s="3">
        <f t="shared" si="4"/>
        <v>4</v>
      </c>
      <c r="M14" s="24">
        <f t="shared" si="5"/>
        <v>94819.627410297602</v>
      </c>
      <c r="N14" s="24">
        <f t="shared" si="6"/>
        <v>4985421.4287090236</v>
      </c>
      <c r="O14" s="24">
        <f t="shared" si="7"/>
        <v>36.173422362067321</v>
      </c>
      <c r="P14" s="24">
        <f t="shared" si="8"/>
        <v>45942.94673667998</v>
      </c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3">
        <f t="shared" si="16"/>
        <v>4</v>
      </c>
      <c r="AC14" s="24">
        <f t="shared" si="17"/>
        <v>91155.536721914861</v>
      </c>
      <c r="AD14" s="24">
        <f t="shared" si="9"/>
        <v>3548943.0796869076</v>
      </c>
      <c r="AE14" s="24">
        <f t="shared" si="18"/>
        <v>34.434644945237686</v>
      </c>
      <c r="AF14" s="24">
        <f t="shared" si="10"/>
        <v>21909.530841826581</v>
      </c>
      <c r="AG14" s="1"/>
      <c r="AH14" s="25">
        <f t="shared" si="11"/>
        <v>52.577947887692254</v>
      </c>
      <c r="AI14" s="1">
        <f t="shared" si="19"/>
        <v>0.47973259670265989</v>
      </c>
      <c r="AJ14" s="1">
        <f t="shared" si="20"/>
        <v>52.577947887691941</v>
      </c>
      <c r="AK14" s="26">
        <f t="shared" si="21"/>
        <v>3.1263880373444408E-13</v>
      </c>
      <c r="AL14" s="1">
        <f t="shared" si="22"/>
        <v>0.23561735579620768</v>
      </c>
      <c r="AM14" s="1">
        <f t="shared" si="23"/>
        <v>5.4739914571307613E-3</v>
      </c>
      <c r="AN14" s="1">
        <f t="shared" si="24"/>
        <v>56.951407119988339</v>
      </c>
      <c r="AO14" s="1">
        <f t="shared" si="25"/>
        <v>7.5466156070114199</v>
      </c>
      <c r="AP14" s="1">
        <f t="shared" si="26"/>
        <v>0.14353195417841658</v>
      </c>
    </row>
    <row r="15" spans="1:42" x14ac:dyDescent="0.45">
      <c r="A15" s="16">
        <f t="shared" si="12"/>
        <v>5</v>
      </c>
      <c r="B15" s="17">
        <f t="shared" si="13"/>
        <v>98592.99999855335</v>
      </c>
      <c r="C15" s="18">
        <f t="shared" si="0"/>
        <v>34.000003094799467</v>
      </c>
      <c r="D15" s="19">
        <v>3.4485210000000002E-4</v>
      </c>
      <c r="E15" s="20">
        <f t="shared" si="1"/>
        <v>0.99965514789999999</v>
      </c>
      <c r="F15" s="21">
        <f t="shared" si="2"/>
        <v>3.6513749678700181E-4</v>
      </c>
      <c r="G15" s="1"/>
      <c r="H15" s="22">
        <f t="shared" si="3"/>
        <v>7255486.9984856267</v>
      </c>
      <c r="I15" s="19">
        <f t="shared" si="14"/>
        <v>72.590285300093171</v>
      </c>
      <c r="J15" s="23">
        <f t="shared" si="15"/>
        <v>73.090285300093171</v>
      </c>
      <c r="K15" s="1"/>
      <c r="L15" s="3">
        <f t="shared" si="4"/>
        <v>5</v>
      </c>
      <c r="M15" s="24">
        <f t="shared" si="5"/>
        <v>93853.849797638512</v>
      </c>
      <c r="N15" s="24">
        <f t="shared" si="6"/>
        <v>4890601.8012987264</v>
      </c>
      <c r="O15" s="24">
        <f t="shared" si="7"/>
        <v>32.048386438977083</v>
      </c>
      <c r="P15" s="24">
        <f t="shared" si="8"/>
        <v>45906.773314317914</v>
      </c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3">
        <f t="shared" si="16"/>
        <v>5</v>
      </c>
      <c r="AC15" s="24">
        <f t="shared" si="17"/>
        <v>89342.500197447458</v>
      </c>
      <c r="AD15" s="24">
        <f t="shared" si="9"/>
        <v>3457787.5429649926</v>
      </c>
      <c r="AE15" s="24">
        <f t="shared" si="18"/>
        <v>30.208793525054482</v>
      </c>
      <c r="AF15" s="24">
        <f t="shared" si="10"/>
        <v>21875.096196881343</v>
      </c>
      <c r="AG15" s="1"/>
      <c r="AH15" s="25">
        <f t="shared" si="11"/>
        <v>52.108696785944531</v>
      </c>
      <c r="AI15" s="1">
        <f t="shared" si="19"/>
        <v>0.48428754818535957</v>
      </c>
      <c r="AJ15" s="1">
        <f t="shared" si="20"/>
        <v>52.108696785944211</v>
      </c>
      <c r="AK15" s="26">
        <f t="shared" si="21"/>
        <v>3.1974423109204508E-13</v>
      </c>
      <c r="AL15" s="1">
        <f t="shared" si="22"/>
        <v>0.24002093443554429</v>
      </c>
      <c r="AM15" s="1">
        <f t="shared" si="23"/>
        <v>5.4865051081573191E-3</v>
      </c>
      <c r="AN15" s="1">
        <f t="shared" si="24"/>
        <v>57.081599145268648</v>
      </c>
      <c r="AO15" s="1">
        <f t="shared" si="25"/>
        <v>7.5552365380091606</v>
      </c>
      <c r="AP15" s="1">
        <f t="shared" si="26"/>
        <v>0.14498993457934764</v>
      </c>
    </row>
    <row r="16" spans="1:42" x14ac:dyDescent="0.45">
      <c r="A16" s="16">
        <f t="shared" si="12"/>
        <v>6</v>
      </c>
      <c r="B16" s="17">
        <f t="shared" si="13"/>
        <v>98558.999995458551</v>
      </c>
      <c r="C16" s="18">
        <f t="shared" si="0"/>
        <v>30.999998810177203</v>
      </c>
      <c r="D16" s="19">
        <v>3.1453239999999999E-4</v>
      </c>
      <c r="E16" s="20">
        <f t="shared" si="1"/>
        <v>0.99968546759999999</v>
      </c>
      <c r="F16" s="21">
        <f t="shared" si="2"/>
        <v>3.2975173199794932E-4</v>
      </c>
      <c r="G16" s="1"/>
      <c r="H16" s="22">
        <f t="shared" si="3"/>
        <v>7156893.998487073</v>
      </c>
      <c r="I16" s="19">
        <f t="shared" si="14"/>
        <v>71.615326848048895</v>
      </c>
      <c r="J16" s="23">
        <f t="shared" si="15"/>
        <v>72.115326848048895</v>
      </c>
      <c r="K16" s="1"/>
      <c r="L16" s="3">
        <f t="shared" si="4"/>
        <v>6</v>
      </c>
      <c r="M16" s="24">
        <f t="shared" si="5"/>
        <v>92901.665628869741</v>
      </c>
      <c r="N16" s="24">
        <f t="shared" si="6"/>
        <v>4796747.9515010882</v>
      </c>
      <c r="O16" s="24">
        <f t="shared" si="7"/>
        <v>28.934107541954646</v>
      </c>
      <c r="P16" s="24">
        <f t="shared" si="8"/>
        <v>45874.724927878939</v>
      </c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3">
        <f t="shared" si="16"/>
        <v>6</v>
      </c>
      <c r="AC16" s="24">
        <f t="shared" si="17"/>
        <v>87569.064996763453</v>
      </c>
      <c r="AD16" s="24">
        <f t="shared" si="9"/>
        <v>3368445.0427675452</v>
      </c>
      <c r="AE16" s="24">
        <f t="shared" si="18"/>
        <v>27.005890689729711</v>
      </c>
      <c r="AF16" s="24">
        <f t="shared" si="10"/>
        <v>21844.88740335629</v>
      </c>
      <c r="AG16" s="1"/>
      <c r="AH16" s="25">
        <f t="shared" si="11"/>
        <v>51.632529072874561</v>
      </c>
      <c r="AI16" s="1">
        <f t="shared" si="19"/>
        <v>0.48890963819768707</v>
      </c>
      <c r="AJ16" s="1">
        <f t="shared" si="20"/>
        <v>51.632529072874235</v>
      </c>
      <c r="AK16" s="26">
        <f t="shared" si="21"/>
        <v>3.2684965844964609E-13</v>
      </c>
      <c r="AL16" s="1">
        <f t="shared" si="22"/>
        <v>0.24454362761599269</v>
      </c>
      <c r="AM16" s="1">
        <f t="shared" si="23"/>
        <v>5.5109932933994077E-3</v>
      </c>
      <c r="AN16" s="1">
        <f t="shared" si="24"/>
        <v>57.33637422452734</v>
      </c>
      <c r="AO16" s="1">
        <f t="shared" si="25"/>
        <v>7.5720785933934511</v>
      </c>
      <c r="AP16" s="1">
        <f t="shared" si="26"/>
        <v>0.14665325773033816</v>
      </c>
    </row>
    <row r="17" spans="1:42" x14ac:dyDescent="0.45">
      <c r="A17" s="16">
        <f t="shared" si="12"/>
        <v>7</v>
      </c>
      <c r="B17" s="17">
        <f t="shared" si="13"/>
        <v>98527.999996648374</v>
      </c>
      <c r="C17" s="18">
        <f t="shared" si="0"/>
        <v>29.000002411819878</v>
      </c>
      <c r="D17" s="19">
        <v>2.943326E-4</v>
      </c>
      <c r="E17" s="20">
        <f t="shared" si="1"/>
        <v>0.9997056674</v>
      </c>
      <c r="F17" s="21">
        <f t="shared" si="2"/>
        <v>3.0448198087872536E-4</v>
      </c>
      <c r="G17" s="1"/>
      <c r="H17" s="22">
        <f t="shared" si="3"/>
        <v>7058334.9984916141</v>
      </c>
      <c r="I17" s="19">
        <f t="shared" si="14"/>
        <v>70.637859275857807</v>
      </c>
      <c r="J17" s="23">
        <f t="shared" si="15"/>
        <v>71.137859275857807</v>
      </c>
      <c r="K17" s="1"/>
      <c r="L17" s="3">
        <f t="shared" si="4"/>
        <v>7</v>
      </c>
      <c r="M17" s="24">
        <f t="shared" si="5"/>
        <v>91961.930877907507</v>
      </c>
      <c r="N17" s="24">
        <f t="shared" si="6"/>
        <v>4703846.2858722182</v>
      </c>
      <c r="O17" s="24">
        <f t="shared" si="7"/>
        <v>26.802027606356816</v>
      </c>
      <c r="P17" s="24">
        <f t="shared" si="8"/>
        <v>45845.790820336981</v>
      </c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3">
        <f t="shared" si="16"/>
        <v>7</v>
      </c>
      <c r="AC17" s="24">
        <f t="shared" si="17"/>
        <v>85833.435481088818</v>
      </c>
      <c r="AD17" s="24">
        <f t="shared" si="9"/>
        <v>3280875.9777707816</v>
      </c>
      <c r="AE17" s="24">
        <f t="shared" si="18"/>
        <v>24.77064220929606</v>
      </c>
      <c r="AF17" s="24">
        <f t="shared" si="10"/>
        <v>21817.881512666561</v>
      </c>
      <c r="AG17" s="1"/>
      <c r="AH17" s="25">
        <f t="shared" si="11"/>
        <v>51.14992955201474</v>
      </c>
      <c r="AI17" s="1">
        <f t="shared" si="19"/>
        <v>0.49359416082300062</v>
      </c>
      <c r="AJ17" s="1">
        <f t="shared" si="20"/>
        <v>51.149929552014427</v>
      </c>
      <c r="AK17" s="26">
        <f t="shared" si="21"/>
        <v>3.1263880373444408E-13</v>
      </c>
      <c r="AL17" s="1">
        <f t="shared" si="22"/>
        <v>0.24918008854495421</v>
      </c>
      <c r="AM17" s="1">
        <f t="shared" si="23"/>
        <v>5.544892946392016E-3</v>
      </c>
      <c r="AN17" s="1">
        <f t="shared" si="24"/>
        <v>57.689066214262432</v>
      </c>
      <c r="AO17" s="1">
        <f t="shared" si="25"/>
        <v>7.5953318699226324</v>
      </c>
      <c r="AP17" s="1">
        <f t="shared" si="26"/>
        <v>0.14849154117013755</v>
      </c>
    </row>
    <row r="18" spans="1:42" x14ac:dyDescent="0.45">
      <c r="A18" s="16">
        <f t="shared" si="12"/>
        <v>8</v>
      </c>
      <c r="B18" s="17">
        <f t="shared" si="13"/>
        <v>98498.999994236554</v>
      </c>
      <c r="C18" s="18">
        <f t="shared" si="0"/>
        <v>27.00000413392263</v>
      </c>
      <c r="D18" s="19">
        <v>2.7411450000000001E-4</v>
      </c>
      <c r="E18" s="20">
        <f t="shared" si="1"/>
        <v>0.99972588549999997</v>
      </c>
      <c r="F18" s="21">
        <f t="shared" si="2"/>
        <v>2.8426687859277365E-4</v>
      </c>
      <c r="G18" s="1"/>
      <c r="H18" s="22">
        <f t="shared" si="3"/>
        <v>6959806.998494966</v>
      </c>
      <c r="I18" s="19">
        <f t="shared" si="14"/>
        <v>69.658656421914969</v>
      </c>
      <c r="J18" s="23">
        <f t="shared" si="15"/>
        <v>70.158656421914969</v>
      </c>
      <c r="K18" s="1"/>
      <c r="L18" s="3">
        <f t="shared" si="4"/>
        <v>8</v>
      </c>
      <c r="M18" s="24">
        <f t="shared" si="5"/>
        <v>91033.541292674607</v>
      </c>
      <c r="N18" s="24">
        <f t="shared" si="6"/>
        <v>4611884.354994311</v>
      </c>
      <c r="O18" s="24">
        <f t="shared" si="7"/>
        <v>24.708970383548895</v>
      </c>
      <c r="P18" s="24">
        <f t="shared" si="8"/>
        <v>45818.988792730626</v>
      </c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3">
        <f t="shared" si="16"/>
        <v>8</v>
      </c>
      <c r="AC18" s="24">
        <f t="shared" si="17"/>
        <v>84133.906341891736</v>
      </c>
      <c r="AD18" s="24">
        <f t="shared" si="9"/>
        <v>3195042.5422896929</v>
      </c>
      <c r="AE18" s="24">
        <f t="shared" si="18"/>
        <v>22.612337923608926</v>
      </c>
      <c r="AF18" s="24">
        <f t="shared" si="10"/>
        <v>21793.110870457265</v>
      </c>
      <c r="AG18" s="1"/>
      <c r="AH18" s="25">
        <f t="shared" si="11"/>
        <v>50.661374802140379</v>
      </c>
      <c r="AI18" s="1">
        <f t="shared" si="19"/>
        <v>0.49833648998116775</v>
      </c>
      <c r="AJ18" s="1">
        <f t="shared" si="20"/>
        <v>50.661374802140053</v>
      </c>
      <c r="AK18" s="26">
        <f t="shared" si="21"/>
        <v>3.2684965844964609E-13</v>
      </c>
      <c r="AL18" s="1">
        <f t="shared" si="22"/>
        <v>0.25392498006429692</v>
      </c>
      <c r="AM18" s="1">
        <f t="shared" si="23"/>
        <v>5.5857228175464069E-3</v>
      </c>
      <c r="AN18" s="1">
        <f t="shared" si="24"/>
        <v>58.113860193752714</v>
      </c>
      <c r="AO18" s="1">
        <f t="shared" si="25"/>
        <v>7.6232447287065837</v>
      </c>
      <c r="AP18" s="1">
        <f t="shared" si="26"/>
        <v>0.1504744938028115</v>
      </c>
    </row>
    <row r="19" spans="1:42" x14ac:dyDescent="0.45">
      <c r="A19" s="16">
        <f t="shared" si="12"/>
        <v>9</v>
      </c>
      <c r="B19" s="17">
        <f t="shared" si="13"/>
        <v>98471.999990102631</v>
      </c>
      <c r="C19" s="18">
        <f t="shared" si="0"/>
        <v>25.000002427084837</v>
      </c>
      <c r="D19" s="19">
        <v>2.5387929999999998E-4</v>
      </c>
      <c r="E19" s="20">
        <f t="shared" si="1"/>
        <v>0.99974612070000002</v>
      </c>
      <c r="F19" s="21">
        <f t="shared" si="2"/>
        <v>2.6403447968069074E-4</v>
      </c>
      <c r="G19" s="1"/>
      <c r="H19" s="22">
        <f t="shared" si="3"/>
        <v>6861307.998500729</v>
      </c>
      <c r="I19" s="19">
        <f t="shared" si="14"/>
        <v>68.677756105190866</v>
      </c>
      <c r="J19" s="23">
        <f t="shared" si="15"/>
        <v>69.177756105190866</v>
      </c>
      <c r="K19" s="1"/>
      <c r="L19" s="3">
        <f t="shared" si="4"/>
        <v>9</v>
      </c>
      <c r="M19" s="24">
        <f t="shared" si="5"/>
        <v>90116.34662334327</v>
      </c>
      <c r="N19" s="24">
        <f t="shared" si="6"/>
        <v>4520850.8137016362</v>
      </c>
      <c r="O19" s="24">
        <f t="shared" si="7"/>
        <v>22.654374264002385</v>
      </c>
      <c r="P19" s="24">
        <f t="shared" si="8"/>
        <v>45794.279822347075</v>
      </c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3">
        <f t="shared" si="16"/>
        <v>9</v>
      </c>
      <c r="AC19" s="24">
        <f t="shared" si="17"/>
        <v>82469.696254313763</v>
      </c>
      <c r="AD19" s="24">
        <f t="shared" si="9"/>
        <v>3110908.6359478012</v>
      </c>
      <c r="AE19" s="24">
        <f t="shared" si="18"/>
        <v>20.528824938731752</v>
      </c>
      <c r="AF19" s="24">
        <f t="shared" si="10"/>
        <v>21770.498532533657</v>
      </c>
      <c r="AG19" s="1"/>
      <c r="AH19" s="25">
        <f t="shared" si="11"/>
        <v>50.166823035972683</v>
      </c>
      <c r="AI19" s="1">
        <f t="shared" si="19"/>
        <v>0.50313703129516196</v>
      </c>
      <c r="AJ19" s="1">
        <f t="shared" si="20"/>
        <v>50.166823035972371</v>
      </c>
      <c r="AK19" s="26">
        <f t="shared" si="21"/>
        <v>3.1263880373444408E-13</v>
      </c>
      <c r="AL19" s="1">
        <f t="shared" si="22"/>
        <v>0.25878031173111776</v>
      </c>
      <c r="AM19" s="1">
        <f t="shared" si="23"/>
        <v>5.6334394706089586E-3</v>
      </c>
      <c r="AN19" s="1">
        <f t="shared" si="24"/>
        <v>58.610304252215506</v>
      </c>
      <c r="AO19" s="1">
        <f t="shared" si="25"/>
        <v>7.655736689059748</v>
      </c>
      <c r="AP19" s="1">
        <f t="shared" si="26"/>
        <v>0.15260557128702601</v>
      </c>
    </row>
    <row r="20" spans="1:42" x14ac:dyDescent="0.45">
      <c r="A20" s="16">
        <f t="shared" si="12"/>
        <v>10</v>
      </c>
      <c r="B20" s="17">
        <f t="shared" si="13"/>
        <v>98446.999987675546</v>
      </c>
      <c r="C20" s="18">
        <f t="shared" si="0"/>
        <v>22.999995402511558</v>
      </c>
      <c r="D20" s="19">
        <v>2.3362820000000001E-4</v>
      </c>
      <c r="E20" s="20">
        <f t="shared" si="1"/>
        <v>0.99976637180000005</v>
      </c>
      <c r="F20" s="21">
        <f t="shared" si="2"/>
        <v>2.4378598553336035E-4</v>
      </c>
      <c r="G20" s="1"/>
      <c r="H20" s="22">
        <f t="shared" si="3"/>
        <v>6762835.9985106261</v>
      </c>
      <c r="I20" s="19">
        <f t="shared" si="14"/>
        <v>67.695196393564629</v>
      </c>
      <c r="J20" s="23">
        <f t="shared" si="15"/>
        <v>68.195196393564629</v>
      </c>
      <c r="K20" s="1"/>
      <c r="L20" s="3">
        <f t="shared" si="4"/>
        <v>10</v>
      </c>
      <c r="M20" s="24">
        <f t="shared" si="5"/>
        <v>89210.198654732783</v>
      </c>
      <c r="N20" s="24">
        <f t="shared" si="6"/>
        <v>4430734.4670782927</v>
      </c>
      <c r="O20" s="24">
        <f t="shared" si="7"/>
        <v>20.637684622228221</v>
      </c>
      <c r="P20" s="24">
        <f t="shared" si="8"/>
        <v>45771.625448083076</v>
      </c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3">
        <f t="shared" si="16"/>
        <v>10</v>
      </c>
      <c r="AC20" s="24">
        <f t="shared" si="17"/>
        <v>80840.041291387199</v>
      </c>
      <c r="AD20" s="24">
        <f t="shared" si="9"/>
        <v>3028438.9396934872</v>
      </c>
      <c r="AE20" s="24">
        <f t="shared" si="18"/>
        <v>18.518004856646456</v>
      </c>
      <c r="AF20" s="24">
        <f t="shared" si="10"/>
        <v>21749.969707594926</v>
      </c>
      <c r="AG20" s="1"/>
      <c r="AH20" s="25">
        <f t="shared" si="11"/>
        <v>49.666232492390414</v>
      </c>
      <c r="AI20" s="1">
        <f t="shared" si="19"/>
        <v>0.50799619013405006</v>
      </c>
      <c r="AJ20" s="1">
        <f t="shared" si="20"/>
        <v>49.666232492390115</v>
      </c>
      <c r="AK20" s="26">
        <f t="shared" si="21"/>
        <v>2.9842794901924208E-13</v>
      </c>
      <c r="AL20" s="1">
        <f t="shared" si="22"/>
        <v>0.26374812578611484</v>
      </c>
      <c r="AM20" s="1">
        <f t="shared" si="23"/>
        <v>5.6879965954049205E-3</v>
      </c>
      <c r="AN20" s="1">
        <f t="shared" si="24"/>
        <v>59.177916578592693</v>
      </c>
      <c r="AO20" s="1">
        <f t="shared" si="25"/>
        <v>7.6927184127974355</v>
      </c>
      <c r="AP20" s="1">
        <f t="shared" si="26"/>
        <v>0.15488830190564729</v>
      </c>
    </row>
    <row r="21" spans="1:42" x14ac:dyDescent="0.45">
      <c r="A21" s="16">
        <f t="shared" si="12"/>
        <v>11</v>
      </c>
      <c r="B21" s="17">
        <f t="shared" si="13"/>
        <v>98423.999992273035</v>
      </c>
      <c r="C21" s="18">
        <f t="shared" si="0"/>
        <v>22.999995905396645</v>
      </c>
      <c r="D21" s="19">
        <v>2.336828E-4</v>
      </c>
      <c r="E21" s="20">
        <f t="shared" si="1"/>
        <v>0.99976631719999998</v>
      </c>
      <c r="F21" s="21">
        <f t="shared" si="2"/>
        <v>2.3368279744533611E-4</v>
      </c>
      <c r="G21" s="1"/>
      <c r="H21" s="22">
        <f t="shared" si="3"/>
        <v>6664388.9985229503</v>
      </c>
      <c r="I21" s="19">
        <f t="shared" si="14"/>
        <v>66.711015596258548</v>
      </c>
      <c r="J21" s="23">
        <f t="shared" si="15"/>
        <v>67.211015596258548</v>
      </c>
      <c r="K21" s="1"/>
      <c r="L21" s="3">
        <f t="shared" si="4"/>
        <v>11</v>
      </c>
      <c r="M21" s="24">
        <f t="shared" si="5"/>
        <v>88314.951179377866</v>
      </c>
      <c r="N21" s="24">
        <f t="shared" si="6"/>
        <v>4341524.2684235601</v>
      </c>
      <c r="O21" s="24">
        <f t="shared" si="7"/>
        <v>20.435354827644133</v>
      </c>
      <c r="P21" s="24">
        <f t="shared" si="8"/>
        <v>45750.987763460849</v>
      </c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3">
        <f t="shared" si="16"/>
        <v>11</v>
      </c>
      <c r="AC21" s="24">
        <f t="shared" si="17"/>
        <v>79244.194530076144</v>
      </c>
      <c r="AD21" s="24">
        <f t="shared" si="9"/>
        <v>2947598.8984021</v>
      </c>
      <c r="AE21" s="24">
        <f t="shared" si="18"/>
        <v>18.156687012006518</v>
      </c>
      <c r="AF21" s="24">
        <f t="shared" si="10"/>
        <v>21731.451702738279</v>
      </c>
      <c r="AG21" s="1"/>
      <c r="AH21" s="25">
        <f t="shared" si="11"/>
        <v>49.15956143830531</v>
      </c>
      <c r="AI21" s="1">
        <f t="shared" si="19"/>
        <v>0.51291437159478714</v>
      </c>
      <c r="AJ21" s="1">
        <f t="shared" si="20"/>
        <v>49.159561438304983</v>
      </c>
      <c r="AK21" s="26">
        <f t="shared" si="21"/>
        <v>3.2684965844964609E-13</v>
      </c>
      <c r="AL21" s="1">
        <f t="shared" si="22"/>
        <v>0.26883049765855405</v>
      </c>
      <c r="AM21" s="1">
        <f t="shared" si="23"/>
        <v>5.7493450700786819E-3</v>
      </c>
      <c r="AN21" s="1">
        <f t="shared" si="24"/>
        <v>59.816186109098503</v>
      </c>
      <c r="AO21" s="1">
        <f t="shared" si="25"/>
        <v>7.7340924554273656</v>
      </c>
      <c r="AP21" s="1">
        <f t="shared" si="26"/>
        <v>0.15732631108057307</v>
      </c>
    </row>
    <row r="22" spans="1:42" x14ac:dyDescent="0.45">
      <c r="A22" s="16">
        <f t="shared" si="12"/>
        <v>12</v>
      </c>
      <c r="B22" s="17">
        <f t="shared" si="13"/>
        <v>98400.999996367638</v>
      </c>
      <c r="C22" s="18">
        <f t="shared" si="0"/>
        <v>22.000003574197763</v>
      </c>
      <c r="D22" s="19">
        <v>2.23575E-4</v>
      </c>
      <c r="E22" s="20">
        <f t="shared" si="1"/>
        <v>0.99977642499999997</v>
      </c>
      <c r="F22" s="21">
        <f t="shared" si="2"/>
        <v>2.2865621020749552E-4</v>
      </c>
      <c r="G22" s="1"/>
      <c r="H22" s="22">
        <f t="shared" si="3"/>
        <v>6565964.9985306775</v>
      </c>
      <c r="I22" s="19">
        <f t="shared" si="14"/>
        <v>65.726608456957266</v>
      </c>
      <c r="J22" s="23">
        <f t="shared" si="15"/>
        <v>66.226608456957266</v>
      </c>
      <c r="K22" s="1"/>
      <c r="L22" s="3">
        <f t="shared" si="4"/>
        <v>12</v>
      </c>
      <c r="M22" s="24">
        <f t="shared" si="5"/>
        <v>87428.682969850444</v>
      </c>
      <c r="N22" s="24">
        <f t="shared" si="6"/>
        <v>4253209.3172441823</v>
      </c>
      <c r="O22" s="24">
        <f t="shared" si="7"/>
        <v>19.355231836218639</v>
      </c>
      <c r="P22" s="24">
        <f t="shared" si="8"/>
        <v>45730.552408633208</v>
      </c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3">
        <f t="shared" si="16"/>
        <v>12</v>
      </c>
      <c r="AC22" s="24">
        <f t="shared" si="17"/>
        <v>77679.846811767973</v>
      </c>
      <c r="AD22" s="24">
        <f t="shared" si="9"/>
        <v>2868354.7038720236</v>
      </c>
      <c r="AE22" s="24">
        <f t="shared" si="18"/>
        <v>17.028406298676362</v>
      </c>
      <c r="AF22" s="24">
        <f t="shared" si="10"/>
        <v>21713.295015726271</v>
      </c>
      <c r="AG22" s="1"/>
      <c r="AH22" s="25">
        <f t="shared" si="11"/>
        <v>48.647756923330192</v>
      </c>
      <c r="AI22" s="1">
        <f t="shared" si="19"/>
        <v>0.51788238280596088</v>
      </c>
      <c r="AJ22" s="1">
        <f t="shared" si="20"/>
        <v>48.647756923329872</v>
      </c>
      <c r="AK22" s="26">
        <f t="shared" si="21"/>
        <v>3.1974423109204508E-13</v>
      </c>
      <c r="AL22" s="1">
        <f t="shared" si="22"/>
        <v>0.27401518150649656</v>
      </c>
      <c r="AM22" s="1">
        <f t="shared" si="23"/>
        <v>5.8130190857167419E-3</v>
      </c>
      <c r="AN22" s="1">
        <f t="shared" si="24"/>
        <v>60.478650567796876</v>
      </c>
      <c r="AO22" s="1">
        <f t="shared" si="25"/>
        <v>7.7768020784765302</v>
      </c>
      <c r="AP22" s="1">
        <f t="shared" si="26"/>
        <v>0.15985941737730933</v>
      </c>
    </row>
    <row r="23" spans="1:42" x14ac:dyDescent="0.45">
      <c r="A23" s="16">
        <f t="shared" si="12"/>
        <v>13</v>
      </c>
      <c r="B23" s="17">
        <f t="shared" si="13"/>
        <v>98378.99999279344</v>
      </c>
      <c r="C23" s="18">
        <f t="shared" si="0"/>
        <v>25.000002612869139</v>
      </c>
      <c r="D23" s="19">
        <v>2.5411930000000002E-4</v>
      </c>
      <c r="E23" s="20">
        <f t="shared" si="1"/>
        <v>0.99974588070000003</v>
      </c>
      <c r="F23" s="21">
        <f t="shared" si="2"/>
        <v>2.3887214847940005E-4</v>
      </c>
      <c r="G23" s="1"/>
      <c r="H23" s="22">
        <f t="shared" si="3"/>
        <v>6467563.9985343097</v>
      </c>
      <c r="I23" s="19">
        <f t="shared" si="14"/>
        <v>64.741306569573567</v>
      </c>
      <c r="J23" s="23">
        <f t="shared" si="15"/>
        <v>65.241306569573567</v>
      </c>
      <c r="K23" s="1"/>
      <c r="L23" s="3">
        <f t="shared" si="4"/>
        <v>13</v>
      </c>
      <c r="M23" s="24">
        <f t="shared" si="5"/>
        <v>86552.183787329428</v>
      </c>
      <c r="N23" s="24">
        <f t="shared" si="6"/>
        <v>4165780.6342743319</v>
      </c>
      <c r="O23" s="24">
        <f t="shared" si="7"/>
        <v>21.77894721674803</v>
      </c>
      <c r="P23" s="24">
        <f t="shared" si="8"/>
        <v>45711.197176796988</v>
      </c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3">
        <f t="shared" si="16"/>
        <v>13</v>
      </c>
      <c r="AC23" s="24">
        <f t="shared" si="17"/>
        <v>76147.150498626856</v>
      </c>
      <c r="AD23" s="24">
        <f t="shared" si="9"/>
        <v>2790674.8570602555</v>
      </c>
      <c r="AE23" s="24">
        <f t="shared" si="18"/>
        <v>18.972899691847712</v>
      </c>
      <c r="AF23" s="24">
        <f t="shared" si="10"/>
        <v>21696.266609427596</v>
      </c>
      <c r="AG23" s="1"/>
      <c r="AH23" s="25">
        <f t="shared" si="11"/>
        <v>48.130277619686936</v>
      </c>
      <c r="AI23" s="1">
        <f t="shared" si="19"/>
        <v>0.52290547835675916</v>
      </c>
      <c r="AJ23" s="1">
        <f t="shared" si="20"/>
        <v>48.13027761968663</v>
      </c>
      <c r="AK23" s="26">
        <f t="shared" si="21"/>
        <v>3.0553337637684308E-13</v>
      </c>
      <c r="AL23" s="1">
        <f t="shared" si="22"/>
        <v>0.27931136365351839</v>
      </c>
      <c r="AM23" s="1">
        <f t="shared" si="23"/>
        <v>5.8812243580072532E-3</v>
      </c>
      <c r="AN23" s="1">
        <f t="shared" si="24"/>
        <v>61.188258220707354</v>
      </c>
      <c r="AO23" s="1">
        <f t="shared" si="25"/>
        <v>7.8222923891086653</v>
      </c>
      <c r="AP23" s="1">
        <f t="shared" si="26"/>
        <v>0.16252331746179413</v>
      </c>
    </row>
    <row r="24" spans="1:42" x14ac:dyDescent="0.45">
      <c r="A24" s="16">
        <f t="shared" si="12"/>
        <v>14</v>
      </c>
      <c r="B24" s="17">
        <f t="shared" si="13"/>
        <v>98353.999990180571</v>
      </c>
      <c r="C24" s="18">
        <f t="shared" si="0"/>
        <v>29.999996089405613</v>
      </c>
      <c r="D24" s="19">
        <v>3.0502060000000002E-4</v>
      </c>
      <c r="E24" s="20">
        <f t="shared" si="1"/>
        <v>0.99969497939999996</v>
      </c>
      <c r="F24" s="21">
        <f t="shared" si="2"/>
        <v>2.7960224651649054E-4</v>
      </c>
      <c r="G24" s="1"/>
      <c r="H24" s="22">
        <f t="shared" si="3"/>
        <v>6369184.9985415163</v>
      </c>
      <c r="I24" s="19">
        <f t="shared" si="14"/>
        <v>63.757762766917473</v>
      </c>
      <c r="J24" s="23">
        <f t="shared" si="15"/>
        <v>64.257762766917466</v>
      </c>
      <c r="K24" s="1"/>
      <c r="L24" s="3">
        <f t="shared" si="4"/>
        <v>14</v>
      </c>
      <c r="M24" s="24">
        <f t="shared" si="5"/>
        <v>85681.85401866828</v>
      </c>
      <c r="N24" s="24">
        <f t="shared" si="6"/>
        <v>4079228.4504870023</v>
      </c>
      <c r="O24" s="24">
        <f t="shared" si="7"/>
        <v>25.878507673633461</v>
      </c>
      <c r="P24" s="24">
        <f t="shared" si="8"/>
        <v>45689.418229580238</v>
      </c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3">
        <f t="shared" si="16"/>
        <v>14</v>
      </c>
      <c r="AC24" s="24">
        <f t="shared" si="17"/>
        <v>74642.415242992938</v>
      </c>
      <c r="AD24" s="24">
        <f t="shared" si="9"/>
        <v>2714527.7065616287</v>
      </c>
      <c r="AE24" s="24">
        <f t="shared" si="18"/>
        <v>22.323241557048298</v>
      </c>
      <c r="AF24" s="24">
        <f t="shared" si="10"/>
        <v>21677.293709735746</v>
      </c>
      <c r="AG24" s="1"/>
      <c r="AH24" s="25">
        <f t="shared" si="11"/>
        <v>47.609012400667986</v>
      </c>
      <c r="AI24" s="1">
        <f t="shared" si="19"/>
        <v>0.52796532323172463</v>
      </c>
      <c r="AJ24" s="1">
        <f t="shared" si="20"/>
        <v>47.609012400667687</v>
      </c>
      <c r="AK24" s="26">
        <f t="shared" si="21"/>
        <v>2.9842794901924208E-13</v>
      </c>
      <c r="AL24" s="1">
        <f t="shared" si="22"/>
        <v>0.28469289634196704</v>
      </c>
      <c r="AM24" s="1">
        <f t="shared" si="23"/>
        <v>5.9455138067875946E-3</v>
      </c>
      <c r="AN24" s="1">
        <f t="shared" si="24"/>
        <v>61.85712564581803</v>
      </c>
      <c r="AO24" s="1">
        <f t="shared" si="25"/>
        <v>7.8649301106760019</v>
      </c>
      <c r="AP24" s="1">
        <f t="shared" si="26"/>
        <v>0.1651983461552681</v>
      </c>
    </row>
    <row r="25" spans="1:42" x14ac:dyDescent="0.45">
      <c r="A25" s="16">
        <f t="shared" si="12"/>
        <v>15</v>
      </c>
      <c r="B25" s="17">
        <f t="shared" si="13"/>
        <v>98323.999994091166</v>
      </c>
      <c r="C25" s="18">
        <f t="shared" si="0"/>
        <v>38.000003875320544</v>
      </c>
      <c r="D25" s="19">
        <v>3.8647740000000001E-4</v>
      </c>
      <c r="E25" s="20">
        <f t="shared" si="1"/>
        <v>0.99961352260000003</v>
      </c>
      <c r="F25" s="21">
        <f t="shared" si="2"/>
        <v>3.4579553297675364E-4</v>
      </c>
      <c r="G25" s="1"/>
      <c r="H25" s="22">
        <f t="shared" si="3"/>
        <v>6270830.9985513361</v>
      </c>
      <c r="I25" s="19">
        <f t="shared" si="14"/>
        <v>62.777216131648281</v>
      </c>
      <c r="J25" s="23">
        <f t="shared" si="15"/>
        <v>63.277216131648281</v>
      </c>
      <c r="K25" s="1"/>
      <c r="L25" s="3">
        <f t="shared" si="4"/>
        <v>15</v>
      </c>
      <c r="M25" s="24">
        <f t="shared" si="5"/>
        <v>84815.957334341045</v>
      </c>
      <c r="N25" s="24">
        <f t="shared" si="6"/>
        <v>3993546.5964683341</v>
      </c>
      <c r="O25" s="24">
        <f t="shared" si="7"/>
        <v>32.458083505668206</v>
      </c>
      <c r="P25" s="24">
        <f t="shared" si="8"/>
        <v>45663.539721906607</v>
      </c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3">
        <f t="shared" si="16"/>
        <v>15</v>
      </c>
      <c r="AC25" s="24">
        <f t="shared" si="17"/>
        <v>73163.689627894229</v>
      </c>
      <c r="AD25" s="24">
        <f t="shared" si="9"/>
        <v>2639885.2913186359</v>
      </c>
      <c r="AE25" s="24">
        <f t="shared" si="18"/>
        <v>27.724396774210682</v>
      </c>
      <c r="AF25" s="24">
        <f t="shared" si="10"/>
        <v>21654.970468178697</v>
      </c>
      <c r="AG25" s="1"/>
      <c r="AH25" s="25">
        <f t="shared" si="11"/>
        <v>47.084849620053646</v>
      </c>
      <c r="AI25" s="1">
        <f t="shared" si="19"/>
        <v>0.5330532943112658</v>
      </c>
      <c r="AJ25" s="1">
        <f t="shared" si="20"/>
        <v>47.084849620053355</v>
      </c>
      <c r="AK25" s="26">
        <f t="shared" si="21"/>
        <v>2.9132252166164108E-13</v>
      </c>
      <c r="AL25" s="1">
        <f t="shared" si="22"/>
        <v>0.29014777833027255</v>
      </c>
      <c r="AM25" s="1">
        <f t="shared" si="23"/>
        <v>6.0019637541796067E-3</v>
      </c>
      <c r="AN25" s="1">
        <f t="shared" si="24"/>
        <v>62.444430898484519</v>
      </c>
      <c r="AO25" s="1">
        <f t="shared" si="25"/>
        <v>7.9021788703170035</v>
      </c>
      <c r="AP25" s="1">
        <f t="shared" si="26"/>
        <v>0.16782848270904174</v>
      </c>
    </row>
    <row r="26" spans="1:42" x14ac:dyDescent="0.45">
      <c r="A26" s="16">
        <f t="shared" si="12"/>
        <v>16</v>
      </c>
      <c r="B26" s="17">
        <f t="shared" si="13"/>
        <v>98285.999990215845</v>
      </c>
      <c r="C26" s="18">
        <f t="shared" si="0"/>
        <v>47.000001537118806</v>
      </c>
      <c r="D26" s="19">
        <v>4.7819630000000001E-4</v>
      </c>
      <c r="E26" s="20">
        <f t="shared" si="1"/>
        <v>0.99952180369999999</v>
      </c>
      <c r="F26" s="21">
        <f t="shared" si="2"/>
        <v>4.3241156126457947E-4</v>
      </c>
      <c r="G26" s="1"/>
      <c r="H26" s="22">
        <f t="shared" si="3"/>
        <v>6172506.9985572454</v>
      </c>
      <c r="I26" s="19">
        <f t="shared" si="14"/>
        <v>61.801487487248494</v>
      </c>
      <c r="J26" s="23">
        <f t="shared" si="15"/>
        <v>62.301487487248494</v>
      </c>
      <c r="K26" s="1"/>
      <c r="L26" s="3">
        <f t="shared" si="4"/>
        <v>16</v>
      </c>
      <c r="M26" s="24">
        <f t="shared" si="5"/>
        <v>83951.970257361449</v>
      </c>
      <c r="N26" s="24">
        <f t="shared" si="6"/>
        <v>3908730.6391339931</v>
      </c>
      <c r="O26" s="24">
        <f t="shared" si="7"/>
        <v>39.75193801012351</v>
      </c>
      <c r="P26" s="24">
        <f t="shared" si="8"/>
        <v>45631.081638400938</v>
      </c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3">
        <f t="shared" si="16"/>
        <v>16</v>
      </c>
      <c r="AC26" s="24">
        <f t="shared" si="17"/>
        <v>71708.415346992522</v>
      </c>
      <c r="AD26" s="24">
        <f t="shared" si="9"/>
        <v>2566721.6016907417</v>
      </c>
      <c r="AE26" s="24">
        <f t="shared" si="18"/>
        <v>33.621628167665229</v>
      </c>
      <c r="AF26" s="24">
        <f t="shared" si="10"/>
        <v>21627.246071404486</v>
      </c>
      <c r="AG26" s="1"/>
      <c r="AH26" s="25">
        <f t="shared" si="11"/>
        <v>46.559129311098573</v>
      </c>
      <c r="AI26" s="1">
        <f t="shared" si="19"/>
        <v>0.53815638408951338</v>
      </c>
      <c r="AJ26" s="1">
        <f t="shared" si="20"/>
        <v>46.559129311098289</v>
      </c>
      <c r="AK26" s="26">
        <f t="shared" si="21"/>
        <v>2.8421709430404007E-13</v>
      </c>
      <c r="AL26" s="1">
        <f t="shared" si="22"/>
        <v>0.29565712449171211</v>
      </c>
      <c r="AM26" s="1">
        <f t="shared" si="23"/>
        <v>6.0448307554122338E-3</v>
      </c>
      <c r="AN26" s="1">
        <f t="shared" si="24"/>
        <v>62.890419179308772</v>
      </c>
      <c r="AO26" s="1">
        <f t="shared" si="25"/>
        <v>7.9303479860160468</v>
      </c>
      <c r="AP26" s="1">
        <f t="shared" si="26"/>
        <v>0.17032852854758268</v>
      </c>
    </row>
    <row r="27" spans="1:42" x14ac:dyDescent="0.45">
      <c r="A27" s="16">
        <f t="shared" si="12"/>
        <v>17</v>
      </c>
      <c r="B27" s="17">
        <f t="shared" si="13"/>
        <v>98238.999988678726</v>
      </c>
      <c r="C27" s="18">
        <f t="shared" si="0"/>
        <v>56.999996799830114</v>
      </c>
      <c r="D27" s="19">
        <v>5.8021760000000005E-4</v>
      </c>
      <c r="E27" s="20">
        <f t="shared" si="1"/>
        <v>0.99941978239999996</v>
      </c>
      <c r="F27" s="21">
        <f t="shared" si="2"/>
        <v>5.2932134055178753E-4</v>
      </c>
      <c r="G27" s="1"/>
      <c r="H27" s="22">
        <f t="shared" si="3"/>
        <v>6074220.9985670298</v>
      </c>
      <c r="I27" s="19">
        <f t="shared" si="14"/>
        <v>60.831054868911899</v>
      </c>
      <c r="J27" s="23">
        <f t="shared" si="15"/>
        <v>61.331054868911899</v>
      </c>
      <c r="K27" s="1"/>
      <c r="L27" s="3">
        <f t="shared" si="4"/>
        <v>17</v>
      </c>
      <c r="M27" s="24">
        <f t="shared" si="5"/>
        <v>83089.1597874164</v>
      </c>
      <c r="N27" s="24">
        <f t="shared" si="6"/>
        <v>3824778.6688766317</v>
      </c>
      <c r="O27" s="24">
        <f t="shared" si="7"/>
        <v>47.737147849655926</v>
      </c>
      <c r="P27" s="24">
        <f t="shared" si="8"/>
        <v>45591.329700390816</v>
      </c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3">
        <f t="shared" si="16"/>
        <v>17</v>
      </c>
      <c r="AC27" s="24">
        <f t="shared" si="17"/>
        <v>70275.638748098281</v>
      </c>
      <c r="AD27" s="24">
        <f t="shared" si="9"/>
        <v>2495013.1863437491</v>
      </c>
      <c r="AE27" s="24">
        <f t="shared" si="18"/>
        <v>39.979568644935469</v>
      </c>
      <c r="AF27" s="24">
        <f t="shared" si="10"/>
        <v>21593.624443236822</v>
      </c>
      <c r="AG27" s="1"/>
      <c r="AH27" s="25">
        <f t="shared" si="11"/>
        <v>46.032222237682113</v>
      </c>
      <c r="AI27" s="1">
        <f t="shared" si="19"/>
        <v>0.54327099361597897</v>
      </c>
      <c r="AJ27" s="1">
        <f t="shared" si="20"/>
        <v>46.032222237681815</v>
      </c>
      <c r="AK27" s="26">
        <f t="shared" si="21"/>
        <v>2.9842794901924208E-13</v>
      </c>
      <c r="AL27" s="1">
        <f t="shared" si="22"/>
        <v>0.30121597058631655</v>
      </c>
      <c r="AM27" s="1">
        <f t="shared" si="23"/>
        <v>6.072598081823477E-3</v>
      </c>
      <c r="AN27" s="1">
        <f t="shared" si="24"/>
        <v>63.179310443291349</v>
      </c>
      <c r="AO27" s="1">
        <f t="shared" si="25"/>
        <v>7.9485414035086555</v>
      </c>
      <c r="AP27" s="1">
        <f t="shared" si="26"/>
        <v>0.17267342346557313</v>
      </c>
    </row>
    <row r="28" spans="1:42" x14ac:dyDescent="0.45">
      <c r="A28" s="16">
        <f t="shared" si="12"/>
        <v>18</v>
      </c>
      <c r="B28" s="17">
        <f t="shared" si="13"/>
        <v>98181.999991878896</v>
      </c>
      <c r="C28" s="18">
        <f t="shared" si="0"/>
        <v>63.000002115790267</v>
      </c>
      <c r="D28" s="19">
        <v>6.4166549999999998E-4</v>
      </c>
      <c r="E28" s="20">
        <f t="shared" si="1"/>
        <v>0.9993583345</v>
      </c>
      <c r="F28" s="21">
        <f t="shared" si="2"/>
        <v>6.1110997395421847E-4</v>
      </c>
      <c r="G28" s="1"/>
      <c r="H28" s="22">
        <f t="shared" si="3"/>
        <v>5975981.998578351</v>
      </c>
      <c r="I28" s="19">
        <f t="shared" si="14"/>
        <v>59.866370608387008</v>
      </c>
      <c r="J28" s="23">
        <f t="shared" si="15"/>
        <v>60.366370608387008</v>
      </c>
      <c r="K28" s="1"/>
      <c r="L28" s="3">
        <f t="shared" si="4"/>
        <v>18</v>
      </c>
      <c r="M28" s="24">
        <f t="shared" si="5"/>
        <v>82226.82303380777</v>
      </c>
      <c r="N28" s="24">
        <f t="shared" si="6"/>
        <v>3741689.5090892152</v>
      </c>
      <c r="O28" s="24">
        <f t="shared" si="7"/>
        <v>52.244839873093021</v>
      </c>
      <c r="P28" s="24">
        <f t="shared" si="8"/>
        <v>45543.592552541159</v>
      </c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3">
        <f t="shared" si="16"/>
        <v>18</v>
      </c>
      <c r="AC28" s="24">
        <f t="shared" si="17"/>
        <v>68864.460153514869</v>
      </c>
      <c r="AD28" s="24">
        <f t="shared" si="9"/>
        <v>2424737.5475956509</v>
      </c>
      <c r="AE28" s="24">
        <f t="shared" si="18"/>
        <v>43.325765106299976</v>
      </c>
      <c r="AF28" s="24">
        <f t="shared" si="10"/>
        <v>21553.644874591886</v>
      </c>
      <c r="AG28" s="1"/>
      <c r="AH28" s="25">
        <f t="shared" si="11"/>
        <v>45.504488329201408</v>
      </c>
      <c r="AI28" s="1">
        <f t="shared" si="19"/>
        <v>0.54839362910889966</v>
      </c>
      <c r="AJ28" s="1">
        <f t="shared" si="20"/>
        <v>45.504488329201116</v>
      </c>
      <c r="AK28" s="26">
        <f t="shared" si="21"/>
        <v>2.9132252166164108E-13</v>
      </c>
      <c r="AL28" s="1">
        <f t="shared" si="22"/>
        <v>0.30681940835346438</v>
      </c>
      <c r="AM28" s="1">
        <f t="shared" si="23"/>
        <v>6.0838359062349578E-3</v>
      </c>
      <c r="AN28" s="1">
        <f t="shared" si="24"/>
        <v>63.296228768468396</v>
      </c>
      <c r="AO28" s="1">
        <f t="shared" si="25"/>
        <v>7.9558927071993875</v>
      </c>
      <c r="AP28" s="1">
        <f t="shared" si="26"/>
        <v>0.17483753799499127</v>
      </c>
    </row>
    <row r="29" spans="1:42" x14ac:dyDescent="0.45">
      <c r="A29" s="16">
        <f t="shared" si="12"/>
        <v>19</v>
      </c>
      <c r="B29" s="17">
        <f t="shared" si="13"/>
        <v>98118.999989763106</v>
      </c>
      <c r="C29" s="18">
        <f t="shared" si="0"/>
        <v>64.000001628126483</v>
      </c>
      <c r="D29" s="19">
        <v>6.5226919999999999E-4</v>
      </c>
      <c r="E29" s="20">
        <f t="shared" si="1"/>
        <v>0.99934773079999994</v>
      </c>
      <c r="F29" s="21">
        <f t="shared" si="2"/>
        <v>6.4717334948973611E-4</v>
      </c>
      <c r="G29" s="1"/>
      <c r="H29" s="22">
        <f t="shared" si="3"/>
        <v>5877799.9985864721</v>
      </c>
      <c r="I29" s="19">
        <f t="shared" si="14"/>
        <v>58.904809457900221</v>
      </c>
      <c r="J29" s="23">
        <f t="shared" si="15"/>
        <v>59.404809457900221</v>
      </c>
      <c r="K29" s="1"/>
      <c r="L29" s="3">
        <f t="shared" si="4"/>
        <v>19</v>
      </c>
      <c r="M29" s="24">
        <f t="shared" si="5"/>
        <v>81368.432870073826</v>
      </c>
      <c r="N29" s="24">
        <f t="shared" si="6"/>
        <v>3659462.6860554074</v>
      </c>
      <c r="O29" s="24">
        <f t="shared" si="7"/>
        <v>52.553788077994142</v>
      </c>
      <c r="P29" s="24">
        <f t="shared" si="8"/>
        <v>45491.347712668066</v>
      </c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3">
        <f t="shared" si="16"/>
        <v>19</v>
      </c>
      <c r="AC29" s="24">
        <f t="shared" si="17"/>
        <v>67477.469892910347</v>
      </c>
      <c r="AD29" s="24">
        <f t="shared" si="9"/>
        <v>2355873.0874421359</v>
      </c>
      <c r="AE29" s="24">
        <f t="shared" si="18"/>
        <v>43.154696423209607</v>
      </c>
      <c r="AF29" s="24">
        <f t="shared" si="10"/>
        <v>21510.319109485587</v>
      </c>
      <c r="AG29" s="1"/>
      <c r="AH29" s="25">
        <f t="shared" si="11"/>
        <v>44.973985082135052</v>
      </c>
      <c r="AI29" s="1">
        <f t="shared" si="19"/>
        <v>0.55354314616448452</v>
      </c>
      <c r="AJ29" s="1">
        <f t="shared" si="20"/>
        <v>44.973985082134767</v>
      </c>
      <c r="AK29" s="26">
        <f t="shared" si="21"/>
        <v>2.8421709430404007E-13</v>
      </c>
      <c r="AL29" s="1">
        <f t="shared" si="22"/>
        <v>0.31249661372864262</v>
      </c>
      <c r="AM29" s="1">
        <f t="shared" si="23"/>
        <v>6.0865990629667688E-3</v>
      </c>
      <c r="AN29" s="1">
        <f t="shared" si="24"/>
        <v>63.324976651106155</v>
      </c>
      <c r="AO29" s="1">
        <f t="shared" si="25"/>
        <v>7.9576992058701332</v>
      </c>
      <c r="AP29" s="1">
        <f t="shared" si="26"/>
        <v>0.17694005081687009</v>
      </c>
    </row>
    <row r="30" spans="1:42" x14ac:dyDescent="0.45">
      <c r="A30" s="16">
        <f t="shared" si="12"/>
        <v>20</v>
      </c>
      <c r="B30" s="17">
        <f t="shared" si="13"/>
        <v>98054.99998813498</v>
      </c>
      <c r="C30" s="18">
        <f t="shared" si="0"/>
        <v>61.999999993495294</v>
      </c>
      <c r="D30" s="19">
        <v>6.3229819999999996E-4</v>
      </c>
      <c r="E30" s="20">
        <f t="shared" si="1"/>
        <v>0.99936770180000001</v>
      </c>
      <c r="F30" s="21">
        <f t="shared" si="2"/>
        <v>6.4249656640083758E-4</v>
      </c>
      <c r="G30" s="1"/>
      <c r="H30" s="22">
        <f t="shared" si="3"/>
        <v>5779680.9985967092</v>
      </c>
      <c r="I30" s="19">
        <f t="shared" si="14"/>
        <v>57.943256328551037</v>
      </c>
      <c r="J30" s="23">
        <f t="shared" si="15"/>
        <v>58.443256328551037</v>
      </c>
      <c r="K30" s="1"/>
      <c r="L30" s="3">
        <f t="shared" si="4"/>
        <v>20</v>
      </c>
      <c r="M30" s="24">
        <f t="shared" si="5"/>
        <v>80518.149347975501</v>
      </c>
      <c r="N30" s="24">
        <f t="shared" si="6"/>
        <v>3578094.2531853337</v>
      </c>
      <c r="O30" s="24">
        <f t="shared" si="7"/>
        <v>50.412348734367249</v>
      </c>
      <c r="P30" s="24">
        <f t="shared" si="8"/>
        <v>45438.793924590071</v>
      </c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3">
        <f t="shared" si="16"/>
        <v>20</v>
      </c>
      <c r="AC30" s="24">
        <f t="shared" si="17"/>
        <v>66117.713275277914</v>
      </c>
      <c r="AD30" s="24">
        <f t="shared" si="9"/>
        <v>2288395.6175492257</v>
      </c>
      <c r="AE30" s="24">
        <f t="shared" si="18"/>
        <v>40.990401696485328</v>
      </c>
      <c r="AF30" s="24">
        <f t="shared" si="10"/>
        <v>21467.164413062375</v>
      </c>
      <c r="AG30" s="1"/>
      <c r="AH30" s="25">
        <f t="shared" si="11"/>
        <v>44.438356844515567</v>
      </c>
      <c r="AI30" s="1">
        <f t="shared" si="19"/>
        <v>0.55874241075019104</v>
      </c>
      <c r="AJ30" s="1">
        <f t="shared" si="20"/>
        <v>44.438356844515283</v>
      </c>
      <c r="AK30" s="26">
        <f t="shared" si="21"/>
        <v>2.8421709430404007E-13</v>
      </c>
      <c r="AL30" s="1">
        <f t="shared" si="22"/>
        <v>0.31828348900206932</v>
      </c>
      <c r="AM30" s="1">
        <f t="shared" si="23"/>
        <v>6.0904074311340928E-3</v>
      </c>
      <c r="AN30" s="1">
        <f t="shared" si="24"/>
        <v>63.364598913518989</v>
      </c>
      <c r="AO30" s="1">
        <f t="shared" si="25"/>
        <v>7.9601883717358719</v>
      </c>
      <c r="AP30" s="1">
        <f t="shared" si="26"/>
        <v>0.17912877381104814</v>
      </c>
    </row>
    <row r="31" spans="1:42" x14ac:dyDescent="0.45">
      <c r="A31" s="16">
        <f t="shared" si="12"/>
        <v>21</v>
      </c>
      <c r="B31" s="17">
        <f t="shared" si="13"/>
        <v>97992.999988141484</v>
      </c>
      <c r="C31" s="18">
        <f t="shared" si="0"/>
        <v>60.999995738820871</v>
      </c>
      <c r="D31" s="19">
        <v>6.2249340000000003E-4</v>
      </c>
      <c r="E31" s="20">
        <f t="shared" si="1"/>
        <v>0.99937750660000002</v>
      </c>
      <c r="F31" s="21">
        <f t="shared" si="2"/>
        <v>6.2759582698356452E-4</v>
      </c>
      <c r="G31" s="1"/>
      <c r="H31" s="22">
        <f t="shared" si="3"/>
        <v>5681625.9986085743</v>
      </c>
      <c r="I31" s="19">
        <f t="shared" si="14"/>
        <v>56.979916925659282</v>
      </c>
      <c r="J31" s="23">
        <f t="shared" si="15"/>
        <v>57.479916925659282</v>
      </c>
      <c r="K31" s="1"/>
      <c r="L31" s="3">
        <f t="shared" si="4"/>
        <v>21</v>
      </c>
      <c r="M31" s="24">
        <f t="shared" si="5"/>
        <v>79678.343378182559</v>
      </c>
      <c r="N31" s="24">
        <f t="shared" si="6"/>
        <v>3497576.1038373583</v>
      </c>
      <c r="O31" s="24">
        <f t="shared" si="7"/>
        <v>49.112975788836373</v>
      </c>
      <c r="P31" s="24">
        <f t="shared" si="8"/>
        <v>45388.381575855703</v>
      </c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3">
        <f t="shared" si="16"/>
        <v>21</v>
      </c>
      <c r="AC31" s="24">
        <f t="shared" si="17"/>
        <v>64786.652151274509</v>
      </c>
      <c r="AD31" s="24">
        <f t="shared" si="9"/>
        <v>2222277.9042739477</v>
      </c>
      <c r="AE31" s="24">
        <f t="shared" si="18"/>
        <v>39.542369825113916</v>
      </c>
      <c r="AF31" s="24">
        <f t="shared" si="10"/>
        <v>21426.174011365889</v>
      </c>
      <c r="AG31" s="1"/>
      <c r="AH31" s="25">
        <f t="shared" si="11"/>
        <v>43.896195070680413</v>
      </c>
      <c r="AI31" s="1">
        <f t="shared" si="19"/>
        <v>0.56400509541176302</v>
      </c>
      <c r="AJ31" s="1">
        <f t="shared" si="20"/>
        <v>43.896195070680129</v>
      </c>
      <c r="AK31" s="26">
        <f t="shared" si="21"/>
        <v>2.8421709430404007E-13</v>
      </c>
      <c r="AL31" s="1">
        <f t="shared" si="22"/>
        <v>0.32420248677464686</v>
      </c>
      <c r="AM31" s="1">
        <f t="shared" si="23"/>
        <v>6.1007391242149378E-3</v>
      </c>
      <c r="AN31" s="1">
        <f t="shared" si="24"/>
        <v>63.472089848332104</v>
      </c>
      <c r="AO31" s="1">
        <f t="shared" si="25"/>
        <v>7.9669372941132215</v>
      </c>
      <c r="AP31" s="1">
        <f t="shared" si="26"/>
        <v>0.18149494008045763</v>
      </c>
    </row>
    <row r="32" spans="1:42" x14ac:dyDescent="0.45">
      <c r="A32" s="16">
        <f t="shared" si="12"/>
        <v>22</v>
      </c>
      <c r="B32" s="17">
        <f t="shared" si="13"/>
        <v>97931.999992402663</v>
      </c>
      <c r="C32" s="18">
        <f t="shared" si="0"/>
        <v>58.999995197023964</v>
      </c>
      <c r="D32" s="19">
        <v>6.024588E-4</v>
      </c>
      <c r="E32" s="20">
        <f t="shared" si="1"/>
        <v>0.99939754120000002</v>
      </c>
      <c r="F32" s="21">
        <f t="shared" si="2"/>
        <v>6.1266996969914914E-4</v>
      </c>
      <c r="G32" s="1"/>
      <c r="H32" s="22">
        <f t="shared" si="3"/>
        <v>5583632.9986204328</v>
      </c>
      <c r="I32" s="19">
        <f t="shared" si="14"/>
        <v>56.01540864123676</v>
      </c>
      <c r="J32" s="23">
        <f t="shared" si="15"/>
        <v>56.51540864123676</v>
      </c>
      <c r="K32" s="1"/>
      <c r="L32" s="3">
        <f t="shared" si="4"/>
        <v>22</v>
      </c>
      <c r="M32" s="24">
        <f t="shared" si="5"/>
        <v>78848.070173195854</v>
      </c>
      <c r="N32" s="24">
        <f t="shared" si="6"/>
        <v>3417897.7604591758</v>
      </c>
      <c r="O32" s="24">
        <f t="shared" si="7"/>
        <v>47.037000859067462</v>
      </c>
      <c r="P32" s="24">
        <f t="shared" si="8"/>
        <v>45339.268600066869</v>
      </c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3">
        <f t="shared" si="16"/>
        <v>22</v>
      </c>
      <c r="AC32" s="24">
        <f t="shared" si="17"/>
        <v>63483.010359428168</v>
      </c>
      <c r="AD32" s="24">
        <f t="shared" si="9"/>
        <v>2157491.2521226732</v>
      </c>
      <c r="AE32" s="24">
        <f t="shared" si="18"/>
        <v>37.499654744506046</v>
      </c>
      <c r="AF32" s="24">
        <f t="shared" si="10"/>
        <v>21386.631641540775</v>
      </c>
      <c r="AG32" s="1"/>
      <c r="AH32" s="25">
        <f t="shared" si="11"/>
        <v>43.347893651062101</v>
      </c>
      <c r="AI32" s="1">
        <f t="shared" si="19"/>
        <v>0.56932737671265909</v>
      </c>
      <c r="AJ32" s="1">
        <f t="shared" si="20"/>
        <v>43.347893651061824</v>
      </c>
      <c r="AK32" s="26">
        <f t="shared" si="21"/>
        <v>2.7711166694643907E-13</v>
      </c>
      <c r="AL32" s="1">
        <f t="shared" si="22"/>
        <v>0.33024946973406755</v>
      </c>
      <c r="AM32" s="1">
        <f t="shared" si="23"/>
        <v>6.1158078595495158E-3</v>
      </c>
      <c r="AN32" s="1">
        <f t="shared" si="24"/>
        <v>63.62886497075305</v>
      </c>
      <c r="AO32" s="1">
        <f t="shared" si="25"/>
        <v>7.9767703345873668</v>
      </c>
      <c r="AP32" s="1">
        <f t="shared" si="26"/>
        <v>0.18401748418961347</v>
      </c>
    </row>
    <row r="33" spans="1:42" x14ac:dyDescent="0.45">
      <c r="A33" s="16">
        <f t="shared" si="12"/>
        <v>23</v>
      </c>
      <c r="B33" s="17">
        <f t="shared" si="13"/>
        <v>97872.999997205639</v>
      </c>
      <c r="C33" s="18">
        <f t="shared" si="0"/>
        <v>57.999999801439117</v>
      </c>
      <c r="D33" s="19">
        <v>5.9260469999999996E-4</v>
      </c>
      <c r="E33" s="20">
        <f t="shared" si="1"/>
        <v>0.9994073953</v>
      </c>
      <c r="F33" s="21">
        <f t="shared" si="2"/>
        <v>5.9771333770193785E-4</v>
      </c>
      <c r="G33" s="1"/>
      <c r="H33" s="22">
        <f t="shared" si="3"/>
        <v>5485700.9986280305</v>
      </c>
      <c r="I33" s="19">
        <f t="shared" si="14"/>
        <v>55.049175960526924</v>
      </c>
      <c r="J33" s="23">
        <f t="shared" si="15"/>
        <v>55.549175960526924</v>
      </c>
      <c r="K33" s="1"/>
      <c r="L33" s="3">
        <f t="shared" si="4"/>
        <v>23</v>
      </c>
      <c r="M33" s="24">
        <f t="shared" si="5"/>
        <v>78028.012876521141</v>
      </c>
      <c r="N33" s="24">
        <f t="shared" si="6"/>
        <v>3339049.6902859798</v>
      </c>
      <c r="O33" s="24">
        <f t="shared" si="7"/>
        <v>45.786436111672401</v>
      </c>
      <c r="P33" s="24">
        <f t="shared" si="8"/>
        <v>45292.2315992078</v>
      </c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3">
        <f t="shared" si="16"/>
        <v>23</v>
      </c>
      <c r="AC33" s="24">
        <f t="shared" si="17"/>
        <v>62206.847584444928</v>
      </c>
      <c r="AD33" s="24">
        <f t="shared" si="9"/>
        <v>2094008.2417632451</v>
      </c>
      <c r="AE33" s="24">
        <f t="shared" si="18"/>
        <v>36.144788603193106</v>
      </c>
      <c r="AF33" s="24">
        <f t="shared" si="10"/>
        <v>21349.13198679627</v>
      </c>
      <c r="AG33" s="1"/>
      <c r="AH33" s="25">
        <f t="shared" si="11"/>
        <v>42.792960722580567</v>
      </c>
      <c r="AI33" s="1">
        <f t="shared" si="19"/>
        <v>0.57471402909551228</v>
      </c>
      <c r="AJ33" s="1">
        <f t="shared" si="20"/>
        <v>42.79296072258029</v>
      </c>
      <c r="AK33" s="26">
        <f t="shared" si="21"/>
        <v>2.7711166694643907E-13</v>
      </c>
      <c r="AL33" s="1">
        <f t="shared" si="22"/>
        <v>0.33643353678247728</v>
      </c>
      <c r="AM33" s="1">
        <f t="shared" si="23"/>
        <v>6.1373215432799499E-3</v>
      </c>
      <c r="AN33" s="1">
        <f t="shared" si="24"/>
        <v>63.852693336284489</v>
      </c>
      <c r="AO33" s="1">
        <f t="shared" si="25"/>
        <v>7.9907880297430296</v>
      </c>
      <c r="AP33" s="1">
        <f t="shared" si="26"/>
        <v>0.186731366440054</v>
      </c>
    </row>
    <row r="34" spans="1:42" x14ac:dyDescent="0.45">
      <c r="A34" s="16">
        <f t="shared" si="12"/>
        <v>24</v>
      </c>
      <c r="B34" s="17">
        <f t="shared" si="13"/>
        <v>97814.9999974042</v>
      </c>
      <c r="C34" s="18">
        <f t="shared" si="0"/>
        <v>60.00000466190977</v>
      </c>
      <c r="D34" s="19">
        <v>6.1340289999999996E-4</v>
      </c>
      <c r="E34" s="20">
        <f t="shared" si="1"/>
        <v>0.9993865971</v>
      </c>
      <c r="F34" s="21">
        <f t="shared" si="2"/>
        <v>6.031794942824738E-4</v>
      </c>
      <c r="G34" s="1"/>
      <c r="H34" s="22">
        <f t="shared" si="3"/>
        <v>5387827.9986308245</v>
      </c>
      <c r="I34" s="19">
        <f t="shared" si="14"/>
        <v>54.081817704583202</v>
      </c>
      <c r="J34" s="23">
        <f t="shared" si="15"/>
        <v>54.581817704583202</v>
      </c>
      <c r="K34" s="1"/>
      <c r="L34" s="3">
        <f t="shared" si="4"/>
        <v>24</v>
      </c>
      <c r="M34" s="24">
        <f t="shared" si="5"/>
        <v>77217.245922012211</v>
      </c>
      <c r="N34" s="24">
        <f t="shared" si="6"/>
        <v>3261021.6774094584</v>
      </c>
      <c r="O34" s="24">
        <f t="shared" si="7"/>
        <v>46.900917063100835</v>
      </c>
      <c r="P34" s="24">
        <f t="shared" si="8"/>
        <v>45246.445163096127</v>
      </c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3">
        <f t="shared" si="16"/>
        <v>24</v>
      </c>
      <c r="AC34" s="24">
        <f t="shared" si="17"/>
        <v>60956.939814330566</v>
      </c>
      <c r="AD34" s="24">
        <f t="shared" si="9"/>
        <v>2031801.3941788001</v>
      </c>
      <c r="AE34" s="24">
        <f t="shared" si="18"/>
        <v>36.661597507446722</v>
      </c>
      <c r="AF34" s="24">
        <f t="shared" si="10"/>
        <v>21312.987198193077</v>
      </c>
      <c r="AG34" s="1"/>
      <c r="AH34" s="25">
        <f t="shared" si="11"/>
        <v>42.231779163724923</v>
      </c>
      <c r="AI34" s="1">
        <f t="shared" si="19"/>
        <v>0.58016133601509723</v>
      </c>
      <c r="AJ34" s="1">
        <f t="shared" si="20"/>
        <v>42.231779163724646</v>
      </c>
      <c r="AK34" s="26">
        <f t="shared" si="21"/>
        <v>2.7711166694643907E-13</v>
      </c>
      <c r="AL34" s="1">
        <f t="shared" si="22"/>
        <v>0.34275075512463871</v>
      </c>
      <c r="AM34" s="1">
        <f t="shared" si="23"/>
        <v>6.1635793178161369E-3</v>
      </c>
      <c r="AN34" s="1">
        <f t="shared" si="24"/>
        <v>64.125879222558979</v>
      </c>
      <c r="AO34" s="1">
        <f t="shared" si="25"/>
        <v>8.007863586660239</v>
      </c>
      <c r="AP34" s="1">
        <f t="shared" si="26"/>
        <v>0.1896170075055377</v>
      </c>
    </row>
    <row r="35" spans="1:42" x14ac:dyDescent="0.45">
      <c r="A35" s="16">
        <f t="shared" si="12"/>
        <v>25</v>
      </c>
      <c r="B35" s="17">
        <f t="shared" si="13"/>
        <v>97754.99999274229</v>
      </c>
      <c r="C35" s="18">
        <f t="shared" si="0"/>
        <v>59.000000919113518</v>
      </c>
      <c r="D35" s="19">
        <v>6.0354970000000001E-4</v>
      </c>
      <c r="E35" s="20">
        <f t="shared" si="1"/>
        <v>0.99939645030000002</v>
      </c>
      <c r="F35" s="21">
        <f t="shared" si="2"/>
        <v>6.0866454703011768E-4</v>
      </c>
      <c r="G35" s="1"/>
      <c r="H35" s="22">
        <f t="shared" si="3"/>
        <v>5290012.9986334201</v>
      </c>
      <c r="I35" s="19">
        <f t="shared" si="14"/>
        <v>53.1150120098836</v>
      </c>
      <c r="J35" s="23">
        <f t="shared" si="15"/>
        <v>53.6150120098836</v>
      </c>
      <c r="K35" s="1"/>
      <c r="L35" s="3">
        <f t="shared" si="4"/>
        <v>25</v>
      </c>
      <c r="M35" s="24">
        <f t="shared" si="5"/>
        <v>76413.313182184284</v>
      </c>
      <c r="N35" s="24">
        <f t="shared" si="6"/>
        <v>3183804.4314874462</v>
      </c>
      <c r="O35" s="24">
        <f t="shared" si="7"/>
        <v>45.667082911352644</v>
      </c>
      <c r="P35" s="24">
        <f t="shared" si="8"/>
        <v>45199.544246033023</v>
      </c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3">
        <f t="shared" si="16"/>
        <v>25</v>
      </c>
      <c r="AC35" s="24">
        <f t="shared" si="17"/>
        <v>59730.903093571571</v>
      </c>
      <c r="AD35" s="24">
        <f t="shared" si="9"/>
        <v>1970844.4543644695</v>
      </c>
      <c r="AE35" s="24">
        <f t="shared" si="18"/>
        <v>35.34715981600516</v>
      </c>
      <c r="AF35" s="24">
        <f t="shared" si="10"/>
        <v>21276.325600685632</v>
      </c>
      <c r="AG35" s="1"/>
      <c r="AH35" s="25">
        <f t="shared" si="11"/>
        <v>41.665572383919979</v>
      </c>
      <c r="AI35" s="1">
        <f t="shared" si="19"/>
        <v>0.58565742201592175</v>
      </c>
      <c r="AJ35" s="1">
        <f t="shared" si="20"/>
        <v>41.665572383919709</v>
      </c>
      <c r="AK35" s="26">
        <f t="shared" si="21"/>
        <v>2.7000623958883807E-13</v>
      </c>
      <c r="AL35" s="1">
        <f t="shared" si="22"/>
        <v>0.34918437277892361</v>
      </c>
      <c r="AM35" s="1">
        <f t="shared" si="23"/>
        <v>6.1897568165881767E-3</v>
      </c>
      <c r="AN35" s="1">
        <f t="shared" si="24"/>
        <v>64.398229919783276</v>
      </c>
      <c r="AO35" s="1">
        <f t="shared" si="25"/>
        <v>8.0248507724308045</v>
      </c>
      <c r="AP35" s="1">
        <f t="shared" si="26"/>
        <v>0.19260147678969219</v>
      </c>
    </row>
    <row r="36" spans="1:42" x14ac:dyDescent="0.45">
      <c r="A36" s="16">
        <f t="shared" si="12"/>
        <v>26</v>
      </c>
      <c r="B36" s="17">
        <f t="shared" si="13"/>
        <v>97695.999991823177</v>
      </c>
      <c r="C36" s="18">
        <f t="shared" si="0"/>
        <v>59.999998394981958</v>
      </c>
      <c r="D36" s="19">
        <v>6.1415000000000005E-4</v>
      </c>
      <c r="E36" s="20">
        <f t="shared" si="1"/>
        <v>0.99938585000000002</v>
      </c>
      <c r="F36" s="21">
        <f t="shared" si="2"/>
        <v>6.0903209611476092E-4</v>
      </c>
      <c r="G36" s="1"/>
      <c r="H36" s="22">
        <f t="shared" si="3"/>
        <v>5192257.9986406779</v>
      </c>
      <c r="I36" s="19">
        <f t="shared" si="14"/>
        <v>52.147088919456806</v>
      </c>
      <c r="J36" s="23">
        <f t="shared" si="15"/>
        <v>52.647088919456806</v>
      </c>
      <c r="K36" s="1"/>
      <c r="L36" s="3">
        <f t="shared" si="4"/>
        <v>26</v>
      </c>
      <c r="M36" s="24">
        <f t="shared" si="5"/>
        <v>75618.495970035845</v>
      </c>
      <c r="N36" s="24">
        <f t="shared" si="6"/>
        <v>3107391.1183052617</v>
      </c>
      <c r="O36" s="24">
        <f t="shared" si="7"/>
        <v>45.985794404902371</v>
      </c>
      <c r="P36" s="24">
        <f t="shared" si="8"/>
        <v>45153.877163121673</v>
      </c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3">
        <f t="shared" si="16"/>
        <v>26</v>
      </c>
      <c r="AC36" s="24">
        <f t="shared" si="17"/>
        <v>58530.102903383122</v>
      </c>
      <c r="AD36" s="24">
        <f t="shared" si="9"/>
        <v>1911113.551270898</v>
      </c>
      <c r="AE36" s="24">
        <f t="shared" si="18"/>
        <v>35.244889060310555</v>
      </c>
      <c r="AF36" s="24">
        <f t="shared" si="10"/>
        <v>21240.978440869625</v>
      </c>
      <c r="AG36" s="1"/>
      <c r="AH36" s="25">
        <f t="shared" si="11"/>
        <v>41.09300348338823</v>
      </c>
      <c r="AI36" s="1">
        <f t="shared" si="19"/>
        <v>0.5912152641876528</v>
      </c>
      <c r="AJ36" s="1">
        <f t="shared" si="20"/>
        <v>41.093003483387974</v>
      </c>
      <c r="AK36" s="26">
        <f t="shared" si="21"/>
        <v>2.5579538487363607E-13</v>
      </c>
      <c r="AL36" s="1">
        <f t="shared" si="22"/>
        <v>0.35575620438416322</v>
      </c>
      <c r="AM36" s="1">
        <f t="shared" si="23"/>
        <v>6.2207157756871134E-3</v>
      </c>
      <c r="AN36" s="1">
        <f t="shared" si="24"/>
        <v>64.720326930248618</v>
      </c>
      <c r="AO36" s="1">
        <f t="shared" si="25"/>
        <v>8.0448944635867417</v>
      </c>
      <c r="AP36" s="1">
        <f t="shared" si="26"/>
        <v>0.19577285137697165</v>
      </c>
    </row>
    <row r="37" spans="1:42" x14ac:dyDescent="0.45">
      <c r="A37" s="16">
        <f t="shared" si="12"/>
        <v>27</v>
      </c>
      <c r="B37" s="17">
        <f t="shared" si="13"/>
        <v>97635.999993428195</v>
      </c>
      <c r="C37" s="18">
        <f t="shared" si="0"/>
        <v>61.000004661502317</v>
      </c>
      <c r="D37" s="19">
        <v>6.2476960000000005E-4</v>
      </c>
      <c r="E37" s="20">
        <f t="shared" si="1"/>
        <v>0.99937523039999998</v>
      </c>
      <c r="F37" s="21">
        <f t="shared" si="2"/>
        <v>6.1964850600510412E-4</v>
      </c>
      <c r="G37" s="1"/>
      <c r="H37" s="22">
        <f t="shared" si="3"/>
        <v>5094561.9986488549</v>
      </c>
      <c r="I37" s="19">
        <f t="shared" si="14"/>
        <v>51.17913473505434</v>
      </c>
      <c r="J37" s="23">
        <f t="shared" si="15"/>
        <v>51.67913473505434</v>
      </c>
      <c r="K37" s="1"/>
      <c r="L37" s="3">
        <f t="shared" si="4"/>
        <v>27</v>
      </c>
      <c r="M37" s="24">
        <f t="shared" si="5"/>
        <v>74831.152372003125</v>
      </c>
      <c r="N37" s="24">
        <f t="shared" si="6"/>
        <v>3031772.6223352258</v>
      </c>
      <c r="O37" s="24">
        <f t="shared" si="7"/>
        <v>46.293873947403668</v>
      </c>
      <c r="P37" s="24">
        <f t="shared" si="8"/>
        <v>45107.891368716773</v>
      </c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3">
        <f t="shared" si="16"/>
        <v>27</v>
      </c>
      <c r="AC37" s="24">
        <f t="shared" si="17"/>
        <v>57352.834668553223</v>
      </c>
      <c r="AD37" s="24">
        <f t="shared" si="9"/>
        <v>1852583.4483675149</v>
      </c>
      <c r="AE37" s="24">
        <f t="shared" si="18"/>
        <v>35.133157398111564</v>
      </c>
      <c r="AF37" s="24">
        <f t="shared" si="10"/>
        <v>21205.733551809313</v>
      </c>
      <c r="AG37" s="1"/>
      <c r="AH37" s="25">
        <f t="shared" si="11"/>
        <v>40.514846106653238</v>
      </c>
      <c r="AI37" s="1">
        <f t="shared" si="19"/>
        <v>0.59682735287659683</v>
      </c>
      <c r="AJ37" s="1">
        <f t="shared" si="20"/>
        <v>40.514846106652961</v>
      </c>
      <c r="AK37" s="26">
        <f t="shared" si="21"/>
        <v>2.7711166694643907E-13</v>
      </c>
      <c r="AL37" s="1">
        <f t="shared" si="22"/>
        <v>0.36245631006295398</v>
      </c>
      <c r="AM37" s="1">
        <f t="shared" si="23"/>
        <v>6.2534209212681269E-3</v>
      </c>
      <c r="AN37" s="1">
        <f t="shared" si="24"/>
        <v>65.06059126487348</v>
      </c>
      <c r="AO37" s="1">
        <f t="shared" si="25"/>
        <v>8.066014583725563</v>
      </c>
      <c r="AP37" s="1">
        <f t="shared" si="26"/>
        <v>0.19908787417067306</v>
      </c>
    </row>
    <row r="38" spans="1:42" x14ac:dyDescent="0.45">
      <c r="A38" s="16">
        <f t="shared" si="12"/>
        <v>28</v>
      </c>
      <c r="B38" s="17">
        <f t="shared" si="13"/>
        <v>97574.999988766693</v>
      </c>
      <c r="C38" s="18">
        <f t="shared" si="0"/>
        <v>66.00000320241088</v>
      </c>
      <c r="D38" s="19">
        <v>6.7640280000000005E-4</v>
      </c>
      <c r="E38" s="20">
        <f t="shared" si="1"/>
        <v>0.99932359719999997</v>
      </c>
      <c r="F38" s="21">
        <f t="shared" si="2"/>
        <v>6.5078149053822215E-4</v>
      </c>
      <c r="G38" s="1"/>
      <c r="H38" s="22">
        <f t="shared" si="3"/>
        <v>4996925.9986554263</v>
      </c>
      <c r="I38" s="19">
        <f t="shared" si="14"/>
        <v>50.211129892192645</v>
      </c>
      <c r="J38" s="23">
        <f t="shared" si="15"/>
        <v>50.711129892192645</v>
      </c>
      <c r="K38" s="1"/>
      <c r="L38" s="3">
        <f t="shared" si="4"/>
        <v>28</v>
      </c>
      <c r="M38" s="24">
        <f t="shared" si="5"/>
        <v>74051.219749310607</v>
      </c>
      <c r="N38" s="24">
        <f t="shared" si="6"/>
        <v>2956941.4699632227</v>
      </c>
      <c r="O38" s="24">
        <f t="shared" si="7"/>
        <v>49.59738912321027</v>
      </c>
      <c r="P38" s="24">
        <f t="shared" si="8"/>
        <v>45061.597494769368</v>
      </c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3">
        <f t="shared" si="16"/>
        <v>28</v>
      </c>
      <c r="AC38" s="24">
        <f t="shared" si="17"/>
        <v>56198.648700917103</v>
      </c>
      <c r="AD38" s="24">
        <f t="shared" si="9"/>
        <v>1795230.6136989617</v>
      </c>
      <c r="AE38" s="24">
        <f t="shared" si="18"/>
        <v>37.271225583050892</v>
      </c>
      <c r="AF38" s="24">
        <f t="shared" si="10"/>
        <v>21170.600394411202</v>
      </c>
      <c r="AG38" s="1"/>
      <c r="AH38" s="25">
        <f t="shared" si="11"/>
        <v>39.931029900297503</v>
      </c>
      <c r="AI38" s="1">
        <f t="shared" si="19"/>
        <v>0.60249437099303749</v>
      </c>
      <c r="AJ38" s="1">
        <f t="shared" si="20"/>
        <v>39.931029900297247</v>
      </c>
      <c r="AK38" s="26">
        <f t="shared" si="21"/>
        <v>2.5579538487363607E-13</v>
      </c>
      <c r="AL38" s="1">
        <f t="shared" si="22"/>
        <v>0.36928745459097184</v>
      </c>
      <c r="AM38" s="1">
        <f t="shared" si="23"/>
        <v>6.2879875126759521E-3</v>
      </c>
      <c r="AN38" s="1">
        <f t="shared" si="24"/>
        <v>65.420222081880496</v>
      </c>
      <c r="AO38" s="1">
        <f t="shared" si="25"/>
        <v>8.088276830195694</v>
      </c>
      <c r="AP38" s="1">
        <f t="shared" si="26"/>
        <v>0.20255617875098766</v>
      </c>
    </row>
    <row r="39" spans="1:42" x14ac:dyDescent="0.45">
      <c r="A39" s="16">
        <f t="shared" si="12"/>
        <v>29</v>
      </c>
      <c r="B39" s="17">
        <f t="shared" si="13"/>
        <v>97508.999985564282</v>
      </c>
      <c r="C39" s="18">
        <f t="shared" si="0"/>
        <v>70.000004682136932</v>
      </c>
      <c r="D39" s="19">
        <v>7.1788250000000004E-4</v>
      </c>
      <c r="E39" s="20">
        <f t="shared" si="1"/>
        <v>0.99928211749999996</v>
      </c>
      <c r="F39" s="21">
        <f t="shared" si="2"/>
        <v>6.973715652128621E-4</v>
      </c>
      <c r="G39" s="1"/>
      <c r="H39" s="22">
        <f t="shared" si="3"/>
        <v>4899350.9986666599</v>
      </c>
      <c r="I39" s="19">
        <f t="shared" si="14"/>
        <v>49.24511582922586</v>
      </c>
      <c r="J39" s="23">
        <f t="shared" si="15"/>
        <v>49.74511582922586</v>
      </c>
      <c r="K39" s="1"/>
      <c r="L39" s="3">
        <f t="shared" si="4"/>
        <v>29</v>
      </c>
      <c r="M39" s="24">
        <f t="shared" si="5"/>
        <v>73275.630009703964</v>
      </c>
      <c r="N39" s="24">
        <f t="shared" si="6"/>
        <v>2882890.2502139122</v>
      </c>
      <c r="O39" s="24">
        <f t="shared" si="7"/>
        <v>52.087573906907629</v>
      </c>
      <c r="P39" s="24">
        <f t="shared" si="8"/>
        <v>45012.000105646155</v>
      </c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3">
        <f t="shared" si="16"/>
        <v>29</v>
      </c>
      <c r="AC39" s="24">
        <f t="shared" si="17"/>
        <v>55064.844825748696</v>
      </c>
      <c r="AD39" s="24">
        <f t="shared" si="9"/>
        <v>1739031.9649980445</v>
      </c>
      <c r="AE39" s="24">
        <f t="shared" si="18"/>
        <v>38.758788200480161</v>
      </c>
      <c r="AF39" s="24">
        <f t="shared" si="10"/>
        <v>21133.32916882815</v>
      </c>
      <c r="AG39" s="1"/>
      <c r="AH39" s="25">
        <f t="shared" si="11"/>
        <v>39.343097423142297</v>
      </c>
      <c r="AI39" s="1">
        <f t="shared" si="19"/>
        <v>0.60820134514519431</v>
      </c>
      <c r="AJ39" s="1">
        <f t="shared" si="20"/>
        <v>39.343097423142041</v>
      </c>
      <c r="AK39" s="26">
        <f t="shared" si="21"/>
        <v>2.5579538487363607E-13</v>
      </c>
      <c r="AL39" s="1">
        <f t="shared" si="22"/>
        <v>0.37622768502438253</v>
      </c>
      <c r="AM39" s="1">
        <f t="shared" si="23"/>
        <v>6.3188087879587629E-3</v>
      </c>
      <c r="AN39" s="1">
        <f t="shared" si="24"/>
        <v>65.740886629922855</v>
      </c>
      <c r="AO39" s="1">
        <f t="shared" si="25"/>
        <v>8.1080753961666421</v>
      </c>
      <c r="AP39" s="1">
        <f t="shared" si="26"/>
        <v>0.20608635128451605</v>
      </c>
    </row>
    <row r="40" spans="1:42" x14ac:dyDescent="0.45">
      <c r="A40" s="16">
        <f t="shared" si="12"/>
        <v>30</v>
      </c>
      <c r="B40" s="17">
        <f t="shared" si="13"/>
        <v>97438.999980882145</v>
      </c>
      <c r="C40" s="18">
        <f t="shared" si="0"/>
        <v>71.999996134065441</v>
      </c>
      <c r="D40" s="19">
        <v>7.389238E-4</v>
      </c>
      <c r="E40" s="20">
        <f t="shared" si="1"/>
        <v>0.99926107620000004</v>
      </c>
      <c r="F40" s="21">
        <f t="shared" si="2"/>
        <v>7.2866101275702365E-4</v>
      </c>
      <c r="G40" s="1"/>
      <c r="H40" s="22">
        <f t="shared" si="3"/>
        <v>4801841.9986810954</v>
      </c>
      <c r="I40" s="19">
        <f t="shared" si="14"/>
        <v>48.280493433052811</v>
      </c>
      <c r="J40" s="23">
        <f t="shared" si="15"/>
        <v>48.780493433052811</v>
      </c>
      <c r="K40" s="1"/>
      <c r="L40" s="3">
        <f t="shared" si="4"/>
        <v>30</v>
      </c>
      <c r="M40" s="24">
        <f t="shared" si="5"/>
        <v>72505.153906290157</v>
      </c>
      <c r="N40" s="24">
        <f t="shared" si="6"/>
        <v>2809614.6202042084</v>
      </c>
      <c r="O40" s="24">
        <f t="shared" si="7"/>
        <v>53.050531061230423</v>
      </c>
      <c r="P40" s="24">
        <f t="shared" si="8"/>
        <v>44959.912531739246</v>
      </c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3">
        <f t="shared" si="16"/>
        <v>30</v>
      </c>
      <c r="AC40" s="24">
        <f t="shared" si="17"/>
        <v>53951.67585880668</v>
      </c>
      <c r="AD40" s="24">
        <f t="shared" si="9"/>
        <v>1683967.120172296</v>
      </c>
      <c r="AE40" s="24">
        <f t="shared" si="18"/>
        <v>39.088319402659145</v>
      </c>
      <c r="AF40" s="24">
        <f t="shared" si="10"/>
        <v>21094.570380627669</v>
      </c>
      <c r="AG40" s="1"/>
      <c r="AH40" s="25">
        <f t="shared" si="11"/>
        <v>38.750550393086762</v>
      </c>
      <c r="AI40" s="1">
        <f t="shared" si="19"/>
        <v>0.61395311208419179</v>
      </c>
      <c r="AJ40" s="1">
        <f t="shared" si="20"/>
        <v>38.750550393086534</v>
      </c>
      <c r="AK40" s="26">
        <f t="shared" si="21"/>
        <v>2.2737367544323206E-13</v>
      </c>
      <c r="AL40" s="1">
        <f t="shared" si="22"/>
        <v>0.3832860366039969</v>
      </c>
      <c r="AM40" s="1">
        <f t="shared" si="23"/>
        <v>6.3476127661327153E-3</v>
      </c>
      <c r="AN40" s="1">
        <f t="shared" si="24"/>
        <v>66.040563218844653</v>
      </c>
      <c r="AO40" s="1">
        <f t="shared" si="25"/>
        <v>8.1265345147144146</v>
      </c>
      <c r="AP40" s="1">
        <f t="shared" si="26"/>
        <v>0.20971404102080102</v>
      </c>
    </row>
    <row r="41" spans="1:42" x14ac:dyDescent="0.45">
      <c r="A41" s="16">
        <f t="shared" si="12"/>
        <v>31</v>
      </c>
      <c r="B41" s="17">
        <f t="shared" si="13"/>
        <v>97366.999984748079</v>
      </c>
      <c r="C41" s="18">
        <f t="shared" si="0"/>
        <v>77.000004608737072</v>
      </c>
      <c r="D41" s="19">
        <v>7.9082239999999997E-4</v>
      </c>
      <c r="E41" s="20">
        <f t="shared" si="1"/>
        <v>0.99920917760000005</v>
      </c>
      <c r="F41" s="21">
        <f t="shared" si="2"/>
        <v>7.6514630606952256E-4</v>
      </c>
      <c r="G41" s="1"/>
      <c r="H41" s="22">
        <f t="shared" si="3"/>
        <v>4704402.9987002136</v>
      </c>
      <c r="I41" s="19">
        <f t="shared" si="14"/>
        <v>47.316195419773933</v>
      </c>
      <c r="J41" s="23">
        <f t="shared" si="15"/>
        <v>47.816195419773933</v>
      </c>
      <c r="K41" s="1"/>
      <c r="L41" s="3">
        <f t="shared" si="4"/>
        <v>31</v>
      </c>
      <c r="M41" s="24">
        <f t="shared" si="5"/>
        <v>71741.268533010414</v>
      </c>
      <c r="N41" s="24">
        <f t="shared" si="6"/>
        <v>2737109.4662979185</v>
      </c>
      <c r="O41" s="24">
        <f t="shared" si="7"/>
        <v>56.17838057051172</v>
      </c>
      <c r="P41" s="24">
        <f t="shared" si="8"/>
        <v>44906.862000678018</v>
      </c>
      <c r="Q41" s="27"/>
      <c r="R41" s="27"/>
      <c r="S41" s="27"/>
      <c r="T41" s="27"/>
      <c r="U41" s="27"/>
      <c r="V41" s="27"/>
      <c r="W41" s="27"/>
      <c r="X41" s="27"/>
      <c r="Y41" s="27"/>
      <c r="Z41" s="27"/>
      <c r="AA41" s="27"/>
      <c r="AB41" s="3">
        <f t="shared" si="16"/>
        <v>31</v>
      </c>
      <c r="AC41" s="24">
        <f t="shared" si="17"/>
        <v>52859.89720882562</v>
      </c>
      <c r="AD41" s="24">
        <f t="shared" si="9"/>
        <v>1630015.4443134894</v>
      </c>
      <c r="AE41" s="24">
        <f t="shared" si="18"/>
        <v>40.987146163977513</v>
      </c>
      <c r="AF41" s="24">
        <f t="shared" si="10"/>
        <v>21055.482061225011</v>
      </c>
      <c r="AG41" s="1"/>
      <c r="AH41" s="25">
        <f t="shared" si="11"/>
        <v>38.152510016441767</v>
      </c>
      <c r="AI41" s="1">
        <f t="shared" si="19"/>
        <v>0.61975820213122135</v>
      </c>
      <c r="AJ41" s="1">
        <f t="shared" si="20"/>
        <v>38.152510016441539</v>
      </c>
      <c r="AK41" s="26">
        <f t="shared" si="21"/>
        <v>2.2737367544323206E-13</v>
      </c>
      <c r="AL41" s="1">
        <f t="shared" si="22"/>
        <v>0.39047760160099143</v>
      </c>
      <c r="AM41" s="1">
        <f t="shared" si="23"/>
        <v>6.3773724920676012E-3</v>
      </c>
      <c r="AN41" s="1">
        <f t="shared" si="24"/>
        <v>66.350183407471206</v>
      </c>
      <c r="AO41" s="1">
        <f t="shared" si="25"/>
        <v>8.14556219100138</v>
      </c>
      <c r="AP41" s="1">
        <f t="shared" si="26"/>
        <v>0.21350003413906615</v>
      </c>
    </row>
    <row r="42" spans="1:42" x14ac:dyDescent="0.45">
      <c r="A42" s="16">
        <f t="shared" si="12"/>
        <v>32</v>
      </c>
      <c r="B42" s="17">
        <f t="shared" si="13"/>
        <v>97289.999980139342</v>
      </c>
      <c r="C42" s="18">
        <f t="shared" si="0"/>
        <v>82.000000873260433</v>
      </c>
      <c r="D42" s="19">
        <v>8.4284099999999999E-4</v>
      </c>
      <c r="E42" s="20">
        <f t="shared" si="1"/>
        <v>0.99915715900000002</v>
      </c>
      <c r="F42" s="21">
        <f t="shared" si="2"/>
        <v>8.1714464752007175E-4</v>
      </c>
      <c r="G42" s="1"/>
      <c r="H42" s="22">
        <f t="shared" si="3"/>
        <v>4607035.9987154659</v>
      </c>
      <c r="I42" s="19">
        <f t="shared" si="14"/>
        <v>46.3536437419667</v>
      </c>
      <c r="J42" s="23">
        <f t="shared" si="15"/>
        <v>46.8536437419667</v>
      </c>
      <c r="K42" s="1"/>
      <c r="L42" s="3">
        <f t="shared" si="4"/>
        <v>32</v>
      </c>
      <c r="M42" s="24">
        <f t="shared" si="5"/>
        <v>70981.744382508419</v>
      </c>
      <c r="N42" s="24">
        <f t="shared" si="6"/>
        <v>2665368.197764908</v>
      </c>
      <c r="O42" s="24">
        <f t="shared" si="7"/>
        <v>59.239791824773164</v>
      </c>
      <c r="P42" s="24">
        <f t="shared" si="8"/>
        <v>44850.683620107506</v>
      </c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3">
        <f t="shared" si="16"/>
        <v>32</v>
      </c>
      <c r="AC42" s="24">
        <f t="shared" si="17"/>
        <v>51787.522218237231</v>
      </c>
      <c r="AD42" s="24">
        <f t="shared" si="9"/>
        <v>1577155.5471046637</v>
      </c>
      <c r="AE42" s="24">
        <f t="shared" si="18"/>
        <v>42.796986561823729</v>
      </c>
      <c r="AF42" s="24">
        <f t="shared" si="10"/>
        <v>21014.494915061034</v>
      </c>
      <c r="AG42" s="1"/>
      <c r="AH42" s="25">
        <f t="shared" si="11"/>
        <v>37.550052072568079</v>
      </c>
      <c r="AI42" s="1">
        <f t="shared" si="19"/>
        <v>0.62560617285412656</v>
      </c>
      <c r="AJ42" s="1">
        <f t="shared" si="20"/>
        <v>37.550052072567844</v>
      </c>
      <c r="AK42" s="26">
        <f t="shared" si="21"/>
        <v>2.3447910280083306E-13</v>
      </c>
      <c r="AL42" s="1">
        <f t="shared" si="22"/>
        <v>0.39778744885117551</v>
      </c>
      <c r="AM42" s="1">
        <f t="shared" si="23"/>
        <v>6.4043653379882159E-3</v>
      </c>
      <c r="AN42" s="1">
        <f t="shared" si="24"/>
        <v>66.631016976429279</v>
      </c>
      <c r="AO42" s="1">
        <f t="shared" si="25"/>
        <v>8.1627824285858122</v>
      </c>
      <c r="AP42" s="1">
        <f t="shared" si="26"/>
        <v>0.2173840508346212</v>
      </c>
    </row>
    <row r="43" spans="1:42" x14ac:dyDescent="0.45">
      <c r="A43" s="16">
        <f t="shared" si="12"/>
        <v>33</v>
      </c>
      <c r="B43" s="17">
        <f t="shared" si="13"/>
        <v>97207.999979266082</v>
      </c>
      <c r="C43" s="18">
        <f t="shared" si="0"/>
        <v>88.000001343621989</v>
      </c>
      <c r="D43" s="19">
        <v>9.0527529999999998E-4</v>
      </c>
      <c r="E43" s="20">
        <f t="shared" si="1"/>
        <v>0.99909472470000005</v>
      </c>
      <c r="F43" s="21">
        <f t="shared" si="2"/>
        <v>8.7441364009722684E-4</v>
      </c>
      <c r="G43" s="1"/>
      <c r="H43" s="22">
        <f t="shared" si="3"/>
        <v>4509745.9987353263</v>
      </c>
      <c r="I43" s="19">
        <f t="shared" si="14"/>
        <v>45.392745449934466</v>
      </c>
      <c r="J43" s="23">
        <f t="shared" si="15"/>
        <v>45.892745449934466</v>
      </c>
      <c r="K43" s="1"/>
      <c r="L43" s="3">
        <f t="shared" si="4"/>
        <v>33</v>
      </c>
      <c r="M43" s="24">
        <f t="shared" si="5"/>
        <v>70226.605135953185</v>
      </c>
      <c r="N43" s="24">
        <f t="shared" si="6"/>
        <v>2594386.4533823994</v>
      </c>
      <c r="O43" s="24">
        <f t="shared" si="7"/>
        <v>62.951132492892121</v>
      </c>
      <c r="P43" s="24">
        <f t="shared" si="8"/>
        <v>44791.443828282732</v>
      </c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3">
        <f t="shared" si="16"/>
        <v>33</v>
      </c>
      <c r="AC43" s="24">
        <f t="shared" si="17"/>
        <v>50734.261274514502</v>
      </c>
      <c r="AD43" s="24">
        <f t="shared" si="9"/>
        <v>1525368.0248864265</v>
      </c>
      <c r="AE43" s="24">
        <f t="shared" si="18"/>
        <v>45.032329791263962</v>
      </c>
      <c r="AF43" s="24">
        <f t="shared" si="10"/>
        <v>20971.697928499209</v>
      </c>
      <c r="AG43" s="1"/>
      <c r="AH43" s="25">
        <f t="shared" si="11"/>
        <v>36.943070911086636</v>
      </c>
      <c r="AI43" s="1">
        <f t="shared" si="19"/>
        <v>0.63149804978561019</v>
      </c>
      <c r="AJ43" s="1">
        <f t="shared" si="20"/>
        <v>36.943070911086409</v>
      </c>
      <c r="AK43" s="26">
        <f t="shared" si="21"/>
        <v>2.2737367544323206E-13</v>
      </c>
      <c r="AL43" s="1">
        <f t="shared" si="22"/>
        <v>0.40521872423498323</v>
      </c>
      <c r="AM43" s="1">
        <f t="shared" si="23"/>
        <v>6.4289373519542115E-3</v>
      </c>
      <c r="AN43" s="1">
        <f t="shared" si="24"/>
        <v>66.886664209731507</v>
      </c>
      <c r="AO43" s="1">
        <f t="shared" si="25"/>
        <v>8.1784267563958473</v>
      </c>
      <c r="AP43" s="1">
        <f t="shared" si="26"/>
        <v>0.22137918030906026</v>
      </c>
    </row>
    <row r="44" spans="1:42" x14ac:dyDescent="0.45">
      <c r="A44" s="16">
        <f t="shared" si="12"/>
        <v>34</v>
      </c>
      <c r="B44" s="17">
        <f t="shared" si="13"/>
        <v>97119.99997792246</v>
      </c>
      <c r="C44" s="18">
        <f t="shared" si="0"/>
        <v>94.999996634403942</v>
      </c>
      <c r="D44" s="19">
        <v>9.781713E-4</v>
      </c>
      <c r="E44" s="20">
        <f t="shared" si="1"/>
        <v>0.9990218287</v>
      </c>
      <c r="F44" s="21">
        <f t="shared" si="2"/>
        <v>9.4213343296759629E-4</v>
      </c>
      <c r="G44" s="1"/>
      <c r="H44" s="22">
        <f t="shared" si="3"/>
        <v>4412537.9987560604</v>
      </c>
      <c r="I44" s="19">
        <f t="shared" si="14"/>
        <v>44.433875615312282</v>
      </c>
      <c r="J44" s="23">
        <f t="shared" si="15"/>
        <v>44.933875615312282</v>
      </c>
      <c r="K44" s="1"/>
      <c r="L44" s="3">
        <f t="shared" si="4"/>
        <v>34</v>
      </c>
      <c r="M44" s="24">
        <f t="shared" si="5"/>
        <v>69475.157874676443</v>
      </c>
      <c r="N44" s="24">
        <f t="shared" si="6"/>
        <v>2524159.8482464463</v>
      </c>
      <c r="O44" s="24">
        <f t="shared" si="7"/>
        <v>67.292344657781328</v>
      </c>
      <c r="P44" s="24">
        <f t="shared" si="8"/>
        <v>44728.492695789842</v>
      </c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3">
        <f t="shared" si="16"/>
        <v>34</v>
      </c>
      <c r="AC44" s="24">
        <f t="shared" si="17"/>
        <v>49699.315926775678</v>
      </c>
      <c r="AD44" s="24">
        <f t="shared" si="9"/>
        <v>1474633.763611912</v>
      </c>
      <c r="AE44" s="24">
        <f t="shared" si="18"/>
        <v>47.665892736481794</v>
      </c>
      <c r="AF44" s="24">
        <f t="shared" si="10"/>
        <v>20926.665598707943</v>
      </c>
      <c r="AG44" s="1"/>
      <c r="AH44" s="25">
        <f t="shared" si="11"/>
        <v>36.331833211515416</v>
      </c>
      <c r="AI44" s="1">
        <f t="shared" si="19"/>
        <v>0.63743124430678288</v>
      </c>
      <c r="AJ44" s="1">
        <f t="shared" si="20"/>
        <v>36.331833211515196</v>
      </c>
      <c r="AK44" s="26">
        <f t="shared" si="21"/>
        <v>2.2026824808563106E-13</v>
      </c>
      <c r="AL44" s="1">
        <f t="shared" si="22"/>
        <v>0.41276881242989</v>
      </c>
      <c r="AM44" s="1">
        <f t="shared" si="23"/>
        <v>6.4502212113964896E-3</v>
      </c>
      <c r="AN44" s="1">
        <f t="shared" si="24"/>
        <v>67.108101483368969</v>
      </c>
      <c r="AO44" s="1">
        <f t="shared" si="25"/>
        <v>8.1919534595460792</v>
      </c>
      <c r="AP44" s="1">
        <f t="shared" si="26"/>
        <v>0.22547591837313705</v>
      </c>
    </row>
    <row r="45" spans="1:42" x14ac:dyDescent="0.45">
      <c r="A45" s="16">
        <f t="shared" si="12"/>
        <v>35</v>
      </c>
      <c r="B45" s="17">
        <f t="shared" si="13"/>
        <v>97024.999981288056</v>
      </c>
      <c r="C45" s="18">
        <f t="shared" si="0"/>
        <v>103.00000323263521</v>
      </c>
      <c r="D45" s="19">
        <v>1.0615821E-3</v>
      </c>
      <c r="E45" s="20">
        <f t="shared" si="1"/>
        <v>0.99893841790000004</v>
      </c>
      <c r="F45" s="21">
        <f t="shared" si="2"/>
        <v>1.0203555779707541E-3</v>
      </c>
      <c r="G45" s="1"/>
      <c r="H45" s="22">
        <f t="shared" si="3"/>
        <v>4315417.9987781383</v>
      </c>
      <c r="I45" s="19">
        <f t="shared" si="14"/>
        <v>43.477382113995326</v>
      </c>
      <c r="J45" s="23">
        <f t="shared" si="15"/>
        <v>43.977382113995326</v>
      </c>
      <c r="K45" s="1"/>
      <c r="L45" s="3">
        <f t="shared" si="4"/>
        <v>35</v>
      </c>
      <c r="M45" s="24">
        <f t="shared" si="5"/>
        <v>68726.736531247327</v>
      </c>
      <c r="N45" s="24">
        <f t="shared" si="6"/>
        <v>2454684.6903717699</v>
      </c>
      <c r="O45" s="24">
        <f t="shared" si="7"/>
        <v>72.243788260703681</v>
      </c>
      <c r="P45" s="24">
        <f t="shared" si="8"/>
        <v>44661.200351132058</v>
      </c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3">
        <f t="shared" si="16"/>
        <v>35</v>
      </c>
      <c r="AC45" s="24">
        <f t="shared" si="17"/>
        <v>48681.930586409879</v>
      </c>
      <c r="AD45" s="24">
        <f t="shared" si="9"/>
        <v>1424934.4476851365</v>
      </c>
      <c r="AE45" s="24">
        <f t="shared" si="18"/>
        <v>50.671502703445661</v>
      </c>
      <c r="AF45" s="24">
        <f t="shared" si="10"/>
        <v>20878.999705971462</v>
      </c>
      <c r="AG45" s="1"/>
      <c r="AH45" s="25">
        <f t="shared" si="11"/>
        <v>35.716590285873998</v>
      </c>
      <c r="AI45" s="1">
        <f t="shared" si="19"/>
        <v>0.64340331696880393</v>
      </c>
      <c r="AJ45" s="1">
        <f t="shared" si="20"/>
        <v>35.716590285873785</v>
      </c>
      <c r="AK45" s="26">
        <f t="shared" si="21"/>
        <v>2.1316282072803006E-13</v>
      </c>
      <c r="AL45" s="1">
        <f t="shared" si="22"/>
        <v>0.42043527610315956</v>
      </c>
      <c r="AM45" s="1">
        <f t="shared" si="23"/>
        <v>6.467447816700389E-3</v>
      </c>
      <c r="AN45" s="1">
        <f t="shared" si="24"/>
        <v>67.287327084950732</v>
      </c>
      <c r="AO45" s="1">
        <f t="shared" si="25"/>
        <v>8.2028852902470071</v>
      </c>
      <c r="AP45" s="1">
        <f t="shared" si="26"/>
        <v>0.22966596824029054</v>
      </c>
    </row>
    <row r="46" spans="1:42" x14ac:dyDescent="0.45">
      <c r="A46" s="16">
        <f t="shared" si="12"/>
        <v>36</v>
      </c>
      <c r="B46" s="17">
        <f t="shared" si="13"/>
        <v>96921.999978055421</v>
      </c>
      <c r="C46" s="18">
        <f t="shared" si="0"/>
        <v>109.99999558550189</v>
      </c>
      <c r="D46" s="19">
        <v>1.1349331999999999E-3</v>
      </c>
      <c r="E46" s="20">
        <f t="shared" si="1"/>
        <v>0.99886506679999998</v>
      </c>
      <c r="F46" s="21">
        <f t="shared" si="2"/>
        <v>1.0988217270916998E-3</v>
      </c>
      <c r="G46" s="1"/>
      <c r="H46" s="22">
        <f t="shared" si="3"/>
        <v>4218392.9987968504</v>
      </c>
      <c r="I46" s="19">
        <f t="shared" si="14"/>
        <v>42.523585973792912</v>
      </c>
      <c r="J46" s="23">
        <f t="shared" si="15"/>
        <v>43.023585973792912</v>
      </c>
      <c r="K46" s="1"/>
      <c r="L46" s="3">
        <f t="shared" si="4"/>
        <v>36</v>
      </c>
      <c r="M46" s="24">
        <f t="shared" si="5"/>
        <v>67980.701208366547</v>
      </c>
      <c r="N46" s="24">
        <f t="shared" si="6"/>
        <v>2385957.9538405226</v>
      </c>
      <c r="O46" s="24">
        <f t="shared" si="7"/>
        <v>76.397147361046279</v>
      </c>
      <c r="P46" s="24">
        <f t="shared" si="8"/>
        <v>44588.956562871354</v>
      </c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3">
        <f t="shared" si="16"/>
        <v>36</v>
      </c>
      <c r="AC46" s="24">
        <f t="shared" si="17"/>
        <v>47681.390580338382</v>
      </c>
      <c r="AD46" s="24">
        <f t="shared" si="9"/>
        <v>1376252.5170987265</v>
      </c>
      <c r="AE46" s="24">
        <f t="shared" si="18"/>
        <v>53.059312355778673</v>
      </c>
      <c r="AF46" s="24">
        <f t="shared" si="10"/>
        <v>20828.328203268018</v>
      </c>
      <c r="AG46" s="1"/>
      <c r="AH46" s="25">
        <f t="shared" si="11"/>
        <v>35.097577862978518</v>
      </c>
      <c r="AI46" s="1">
        <f t="shared" si="19"/>
        <v>0.64941197958669838</v>
      </c>
      <c r="AJ46" s="1">
        <f t="shared" si="20"/>
        <v>35.097577862978298</v>
      </c>
      <c r="AK46" s="26">
        <f t="shared" si="21"/>
        <v>2.2026824808563106E-13</v>
      </c>
      <c r="AL46" s="1">
        <f t="shared" si="22"/>
        <v>0.42821586377629273</v>
      </c>
      <c r="AM46" s="1">
        <f t="shared" si="23"/>
        <v>6.4799445455783755E-3</v>
      </c>
      <c r="AN46" s="1">
        <f t="shared" si="24"/>
        <v>67.417343052197296</v>
      </c>
      <c r="AO46" s="1">
        <f t="shared" si="25"/>
        <v>8.2108064800114064</v>
      </c>
      <c r="AP46" s="1">
        <f t="shared" si="26"/>
        <v>0.23394225413692424</v>
      </c>
    </row>
    <row r="47" spans="1:42" x14ac:dyDescent="0.45">
      <c r="A47" s="16">
        <f t="shared" si="12"/>
        <v>37</v>
      </c>
      <c r="B47" s="17">
        <f t="shared" si="13"/>
        <v>96811.999982469919</v>
      </c>
      <c r="C47" s="18">
        <f t="shared" si="0"/>
        <v>121.00000379928679</v>
      </c>
      <c r="D47" s="19">
        <v>1.2498450999999999E-3</v>
      </c>
      <c r="E47" s="20">
        <f t="shared" si="1"/>
        <v>0.99875015489999996</v>
      </c>
      <c r="F47" s="21">
        <f t="shared" si="2"/>
        <v>1.193033918453377E-3</v>
      </c>
      <c r="G47" s="1"/>
      <c r="H47" s="22">
        <f t="shared" si="3"/>
        <v>4121470.9988187947</v>
      </c>
      <c r="I47" s="19">
        <f t="shared" si="14"/>
        <v>41.571902239031154</v>
      </c>
      <c r="J47" s="23">
        <f t="shared" si="15"/>
        <v>42.071902239031154</v>
      </c>
      <c r="K47" s="1"/>
      <c r="L47" s="3">
        <f t="shared" si="4"/>
        <v>37</v>
      </c>
      <c r="M47" s="24">
        <f t="shared" si="5"/>
        <v>67237.826598178377</v>
      </c>
      <c r="N47" s="24">
        <f t="shared" si="6"/>
        <v>2317977.252632156</v>
      </c>
      <c r="O47" s="24">
        <f t="shared" si="7"/>
        <v>83.212977244572954</v>
      </c>
      <c r="P47" s="24">
        <f t="shared" si="8"/>
        <v>44512.55941551031</v>
      </c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3">
        <f t="shared" si="16"/>
        <v>37</v>
      </c>
      <c r="AC47" s="24">
        <f t="shared" si="17"/>
        <v>46697.985027324343</v>
      </c>
      <c r="AD47" s="24">
        <f t="shared" si="9"/>
        <v>1328571.126518388</v>
      </c>
      <c r="AE47" s="24">
        <f t="shared" si="18"/>
        <v>57.226441028811202</v>
      </c>
      <c r="AF47" s="24">
        <f t="shared" si="10"/>
        <v>20775.268890912241</v>
      </c>
      <c r="AG47" s="1"/>
      <c r="AH47" s="25">
        <f t="shared" si="11"/>
        <v>34.474303675588395</v>
      </c>
      <c r="AI47" s="1">
        <f t="shared" si="19"/>
        <v>0.65546201052622588</v>
      </c>
      <c r="AJ47" s="1">
        <f t="shared" si="20"/>
        <v>34.474303675588175</v>
      </c>
      <c r="AK47" s="26">
        <f t="shared" si="21"/>
        <v>2.2026824808563106E-13</v>
      </c>
      <c r="AL47" s="1">
        <f t="shared" si="22"/>
        <v>0.43611975992563895</v>
      </c>
      <c r="AM47" s="1">
        <f t="shared" si="23"/>
        <v>6.4893126825567027E-3</v>
      </c>
      <c r="AN47" s="1">
        <f t="shared" si="24"/>
        <v>67.514809149319817</v>
      </c>
      <c r="AO47" s="1">
        <f t="shared" si="25"/>
        <v>8.2167395692768448</v>
      </c>
      <c r="AP47" s="1">
        <f t="shared" si="26"/>
        <v>0.23834388785915353</v>
      </c>
    </row>
    <row r="48" spans="1:42" x14ac:dyDescent="0.45">
      <c r="A48" s="16">
        <f t="shared" si="12"/>
        <v>38</v>
      </c>
      <c r="B48" s="17">
        <f t="shared" si="13"/>
        <v>96690.999978670632</v>
      </c>
      <c r="C48" s="18">
        <f t="shared" si="0"/>
        <v>129.99999553941598</v>
      </c>
      <c r="D48" s="19">
        <v>1.3444891E-3</v>
      </c>
      <c r="E48" s="20">
        <f t="shared" si="1"/>
        <v>0.99865551090000004</v>
      </c>
      <c r="F48" s="21">
        <f t="shared" si="2"/>
        <v>1.2979491338080671E-3</v>
      </c>
      <c r="G48" s="1"/>
      <c r="H48" s="22">
        <f t="shared" si="3"/>
        <v>4024658.998836325</v>
      </c>
      <c r="I48" s="19">
        <f t="shared" si="14"/>
        <v>40.623925698608318</v>
      </c>
      <c r="J48" s="23">
        <f t="shared" si="15"/>
        <v>41.123925698608318</v>
      </c>
      <c r="K48" s="1"/>
      <c r="L48" s="3">
        <f t="shared" si="4"/>
        <v>38</v>
      </c>
      <c r="M48" s="24">
        <f t="shared" si="5"/>
        <v>66495.419242520293</v>
      </c>
      <c r="N48" s="24">
        <f t="shared" si="6"/>
        <v>2250739.4260339774</v>
      </c>
      <c r="O48" s="24">
        <f t="shared" si="7"/>
        <v>88.525872583538231</v>
      </c>
      <c r="P48" s="24">
        <f t="shared" si="8"/>
        <v>44429.34643826574</v>
      </c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3">
        <f t="shared" si="16"/>
        <v>38</v>
      </c>
      <c r="AC48" s="24">
        <f t="shared" si="17"/>
        <v>45729.600285589375</v>
      </c>
      <c r="AD48" s="24">
        <f t="shared" si="9"/>
        <v>1281873.1414910636</v>
      </c>
      <c r="AE48" s="24">
        <f t="shared" si="18"/>
        <v>60.283310658273962</v>
      </c>
      <c r="AF48" s="24">
        <f t="shared" si="10"/>
        <v>20718.042449883429</v>
      </c>
      <c r="AG48" s="1"/>
      <c r="AH48" s="25">
        <f t="shared" si="11"/>
        <v>33.848037228326085</v>
      </c>
      <c r="AI48" s="1">
        <f t="shared" si="19"/>
        <v>0.66154108689258506</v>
      </c>
      <c r="AJ48" s="1">
        <f t="shared" si="20"/>
        <v>33.848037228325865</v>
      </c>
      <c r="AK48" s="26">
        <f t="shared" si="21"/>
        <v>2.2026824808563106E-13</v>
      </c>
      <c r="AL48" s="1">
        <f t="shared" si="22"/>
        <v>0.44412842094020616</v>
      </c>
      <c r="AM48" s="1">
        <f t="shared" si="23"/>
        <v>6.4918112931833805E-3</v>
      </c>
      <c r="AN48" s="1">
        <f t="shared" si="24"/>
        <v>67.540804694279771</v>
      </c>
      <c r="AO48" s="1">
        <f t="shared" si="25"/>
        <v>8.2183212820064284</v>
      </c>
      <c r="AP48" s="1">
        <f t="shared" si="26"/>
        <v>0.24280052714929184</v>
      </c>
    </row>
    <row r="49" spans="1:42" x14ac:dyDescent="0.45">
      <c r="A49" s="16">
        <f t="shared" si="12"/>
        <v>39</v>
      </c>
      <c r="B49" s="17">
        <f t="shared" si="13"/>
        <v>96560.999983131216</v>
      </c>
      <c r="C49" s="18">
        <f t="shared" si="0"/>
        <v>141.99999942819704</v>
      </c>
      <c r="D49" s="19">
        <v>1.470573E-3</v>
      </c>
      <c r="E49" s="20">
        <f t="shared" si="1"/>
        <v>0.99852942700000002</v>
      </c>
      <c r="F49" s="21">
        <f t="shared" si="2"/>
        <v>1.4084360922894865E-3</v>
      </c>
      <c r="G49" s="1"/>
      <c r="H49" s="22">
        <f t="shared" si="3"/>
        <v>3927967.9988576542</v>
      </c>
      <c r="I49" s="19">
        <f t="shared" si="14"/>
        <v>39.678617656650744</v>
      </c>
      <c r="J49" s="23">
        <f t="shared" si="15"/>
        <v>40.178617656650744</v>
      </c>
      <c r="K49" s="1"/>
      <c r="L49" s="3">
        <f t="shared" si="4"/>
        <v>39</v>
      </c>
      <c r="M49" s="24">
        <f t="shared" si="5"/>
        <v>65754.977495010098</v>
      </c>
      <c r="N49" s="24">
        <f t="shared" si="6"/>
        <v>2184244.0067914571</v>
      </c>
      <c r="O49" s="24">
        <f t="shared" si="7"/>
        <v>95.749479867617453</v>
      </c>
      <c r="P49" s="24">
        <f t="shared" si="8"/>
        <v>44340.820565682203</v>
      </c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3">
        <f t="shared" si="16"/>
        <v>39</v>
      </c>
      <c r="AC49" s="24">
        <f t="shared" si="17"/>
        <v>44777.053532219201</v>
      </c>
      <c r="AD49" s="24">
        <f t="shared" si="9"/>
        <v>1236143.5412054742</v>
      </c>
      <c r="AE49" s="24">
        <f t="shared" si="18"/>
        <v>64.563119238286362</v>
      </c>
      <c r="AF49" s="24">
        <f t="shared" si="10"/>
        <v>20657.759139225156</v>
      </c>
      <c r="AG49" s="1"/>
      <c r="AH49" s="25">
        <f t="shared" si="11"/>
        <v>33.217926459745364</v>
      </c>
      <c r="AI49" s="1">
        <f t="shared" si="19"/>
        <v>0.66765747952101351</v>
      </c>
      <c r="AJ49" s="1">
        <f t="shared" si="20"/>
        <v>33.217926459745165</v>
      </c>
      <c r="AK49" s="26">
        <f t="shared" si="21"/>
        <v>1.9895196601282805E-13</v>
      </c>
      <c r="AL49" s="1">
        <f t="shared" si="22"/>
        <v>0.45225663763719487</v>
      </c>
      <c r="AM49" s="1">
        <f t="shared" si="23"/>
        <v>6.4901276768423166E-3</v>
      </c>
      <c r="AN49" s="1">
        <f t="shared" si="24"/>
        <v>67.523288349867343</v>
      </c>
      <c r="AO49" s="1">
        <f t="shared" si="25"/>
        <v>8.2172555241922076</v>
      </c>
      <c r="AP49" s="1">
        <f t="shared" si="26"/>
        <v>0.24737412596027519</v>
      </c>
    </row>
    <row r="50" spans="1:42" x14ac:dyDescent="0.45">
      <c r="A50" s="16">
        <f t="shared" si="12"/>
        <v>40</v>
      </c>
      <c r="B50" s="17">
        <f t="shared" si="13"/>
        <v>96418.999983703019</v>
      </c>
      <c r="C50" s="18">
        <f t="shared" si="0"/>
        <v>156.00000256323256</v>
      </c>
      <c r="D50" s="19">
        <v>1.6179384000000001E-3</v>
      </c>
      <c r="E50" s="20">
        <f t="shared" si="1"/>
        <v>0.99838206159999998</v>
      </c>
      <c r="F50" s="21">
        <f t="shared" si="2"/>
        <v>1.545338584935533E-3</v>
      </c>
      <c r="G50" s="1"/>
      <c r="H50" s="22">
        <f t="shared" si="3"/>
        <v>3831406.9988745227</v>
      </c>
      <c r="I50" s="19">
        <f t="shared" si="14"/>
        <v>38.737053895208589</v>
      </c>
      <c r="J50" s="23">
        <f t="shared" si="15"/>
        <v>39.237053895208589</v>
      </c>
      <c r="K50" s="1"/>
      <c r="L50" s="3">
        <f t="shared" si="4"/>
        <v>40</v>
      </c>
      <c r="M50" s="24">
        <f t="shared" si="5"/>
        <v>65014.571373034538</v>
      </c>
      <c r="N50" s="24">
        <f t="shared" si="6"/>
        <v>2118489.0292964471</v>
      </c>
      <c r="O50" s="24">
        <f t="shared" si="7"/>
        <v>104.15830127432656</v>
      </c>
      <c r="P50" s="24">
        <f t="shared" si="8"/>
        <v>44245.071085814583</v>
      </c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3">
        <f t="shared" si="16"/>
        <v>40</v>
      </c>
      <c r="AC50" s="24">
        <f t="shared" si="17"/>
        <v>43838.812801769796</v>
      </c>
      <c r="AD50" s="24">
        <f t="shared" si="9"/>
        <v>1191366.4876732549</v>
      </c>
      <c r="AE50" s="24">
        <f t="shared" si="18"/>
        <v>69.54456119291342</v>
      </c>
      <c r="AF50" s="24">
        <f t="shared" si="10"/>
        <v>20593.19601998687</v>
      </c>
      <c r="AG50" s="1"/>
      <c r="AH50" s="25">
        <f t="shared" si="11"/>
        <v>32.58483420802974</v>
      </c>
      <c r="AI50" s="1">
        <f t="shared" si="19"/>
        <v>0.67380281296806865</v>
      </c>
      <c r="AJ50" s="1">
        <f t="shared" si="20"/>
        <v>32.584834208029534</v>
      </c>
      <c r="AK50" s="26">
        <f t="shared" si="21"/>
        <v>2.0605739337042905E-13</v>
      </c>
      <c r="AL50" s="1">
        <f t="shared" si="22"/>
        <v>0.46049213956452029</v>
      </c>
      <c r="AM50" s="1">
        <f t="shared" si="23"/>
        <v>6.4819088008381542E-3</v>
      </c>
      <c r="AN50" s="1">
        <f t="shared" si="24"/>
        <v>67.437779163920041</v>
      </c>
      <c r="AO50" s="1">
        <f t="shared" si="25"/>
        <v>8.2120508500568867</v>
      </c>
      <c r="AP50" s="1">
        <f t="shared" si="26"/>
        <v>0.2520206424138634</v>
      </c>
    </row>
    <row r="51" spans="1:42" x14ac:dyDescent="0.45">
      <c r="A51" s="16">
        <f t="shared" si="12"/>
        <v>41</v>
      </c>
      <c r="B51" s="17">
        <f t="shared" si="13"/>
        <v>96262.999981139787</v>
      </c>
      <c r="C51" s="18">
        <f t="shared" si="0"/>
        <v>168.99999660789035</v>
      </c>
      <c r="D51" s="19">
        <v>1.755607E-3</v>
      </c>
      <c r="E51" s="20">
        <f t="shared" si="1"/>
        <v>0.99824439300000001</v>
      </c>
      <c r="F51" s="21">
        <f t="shared" si="2"/>
        <v>1.688083683423528E-3</v>
      </c>
      <c r="G51" s="1"/>
      <c r="H51" s="22">
        <f t="shared" si="3"/>
        <v>3734987.99889082</v>
      </c>
      <c r="I51" s="19">
        <f t="shared" si="14"/>
        <v>37.799829629479582</v>
      </c>
      <c r="J51" s="23">
        <f t="shared" si="15"/>
        <v>38.299829629479582</v>
      </c>
      <c r="K51" s="1"/>
      <c r="L51" s="3">
        <f t="shared" si="4"/>
        <v>41</v>
      </c>
      <c r="M51" s="24">
        <f t="shared" si="5"/>
        <v>64273.015313201053</v>
      </c>
      <c r="N51" s="24">
        <f t="shared" si="6"/>
        <v>2053474.4579234123</v>
      </c>
      <c r="O51" s="24">
        <f t="shared" si="7"/>
        <v>111.73189916756236</v>
      </c>
      <c r="P51" s="24">
        <f t="shared" si="8"/>
        <v>44140.912784540255</v>
      </c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3">
        <f t="shared" si="16"/>
        <v>41</v>
      </c>
      <c r="AC51" s="24">
        <f t="shared" si="17"/>
        <v>42913.897325663464</v>
      </c>
      <c r="AD51" s="24">
        <f t="shared" si="9"/>
        <v>1147527.6748714852</v>
      </c>
      <c r="AE51" s="24">
        <f t="shared" si="18"/>
        <v>73.869926285001242</v>
      </c>
      <c r="AF51" s="24">
        <f t="shared" si="10"/>
        <v>20523.651458793956</v>
      </c>
      <c r="AG51" s="1"/>
      <c r="AH51" s="25">
        <f t="shared" si="11"/>
        <v>31.949247252783682</v>
      </c>
      <c r="AI51" s="1">
        <f t="shared" si="19"/>
        <v>0.6799723621356677</v>
      </c>
      <c r="AJ51" s="1">
        <f t="shared" si="20"/>
        <v>31.949247252783483</v>
      </c>
      <c r="AK51" s="26">
        <f t="shared" si="21"/>
        <v>1.9895196601282805E-13</v>
      </c>
      <c r="AL51" s="1">
        <f t="shared" si="22"/>
        <v>0.46882841452921459</v>
      </c>
      <c r="AM51" s="1">
        <f t="shared" si="23"/>
        <v>6.4660012608550033E-3</v>
      </c>
      <c r="AN51" s="1">
        <f t="shared" si="24"/>
        <v>67.272277117935332</v>
      </c>
      <c r="AO51" s="1">
        <f t="shared" si="25"/>
        <v>8.2019678808158805</v>
      </c>
      <c r="AP51" s="1">
        <f t="shared" si="26"/>
        <v>0.25671865806169369</v>
      </c>
    </row>
    <row r="52" spans="1:42" x14ac:dyDescent="0.45">
      <c r="A52" s="16">
        <f t="shared" si="12"/>
        <v>42</v>
      </c>
      <c r="B52" s="17">
        <f t="shared" si="13"/>
        <v>96093.999984531896</v>
      </c>
      <c r="C52" s="18">
        <f t="shared" si="0"/>
        <v>184.00000319957326</v>
      </c>
      <c r="D52" s="19">
        <v>1.9147917999999999E-3</v>
      </c>
      <c r="E52" s="20">
        <f t="shared" si="1"/>
        <v>0.99808520820000002</v>
      </c>
      <c r="F52" s="21">
        <f t="shared" si="2"/>
        <v>1.8367431882546541E-3</v>
      </c>
      <c r="G52" s="1"/>
      <c r="H52" s="22">
        <f t="shared" si="3"/>
        <v>3638724.9989096802</v>
      </c>
      <c r="I52" s="19">
        <f t="shared" si="14"/>
        <v>36.866307984841924</v>
      </c>
      <c r="J52" s="23">
        <f t="shared" si="15"/>
        <v>37.366307984841924</v>
      </c>
      <c r="K52" s="1"/>
      <c r="L52" s="3">
        <f t="shared" si="4"/>
        <v>42</v>
      </c>
      <c r="M52" s="24">
        <f t="shared" si="5"/>
        <v>63531.155812923687</v>
      </c>
      <c r="N52" s="24">
        <f t="shared" si="6"/>
        <v>1989201.4426102112</v>
      </c>
      <c r="O52" s="24">
        <f t="shared" si="7"/>
        <v>120.4562995657392</v>
      </c>
      <c r="P52" s="24">
        <f t="shared" si="8"/>
        <v>44029.180885372691</v>
      </c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3">
        <f t="shared" si="16"/>
        <v>42</v>
      </c>
      <c r="AC52" s="24">
        <f t="shared" si="17"/>
        <v>42002.70318204767</v>
      </c>
      <c r="AD52" s="24">
        <f t="shared" si="9"/>
        <v>1104613.7775458219</v>
      </c>
      <c r="AE52" s="24">
        <f t="shared" si="18"/>
        <v>78.857173112835866</v>
      </c>
      <c r="AF52" s="24">
        <f t="shared" si="10"/>
        <v>20449.781532508954</v>
      </c>
      <c r="AG52" s="1"/>
      <c r="AH52" s="25">
        <f t="shared" si="11"/>
        <v>31.310644630292753</v>
      </c>
      <c r="AI52" s="1">
        <f t="shared" si="19"/>
        <v>0.68617118394202481</v>
      </c>
      <c r="AJ52" s="1">
        <f t="shared" si="20"/>
        <v>31.310644630292572</v>
      </c>
      <c r="AK52" s="26">
        <f t="shared" si="21"/>
        <v>1.8118839761882555E-13</v>
      </c>
      <c r="AL52" s="1">
        <f t="shared" si="22"/>
        <v>0.47727499729401546</v>
      </c>
      <c r="AM52" s="1">
        <f t="shared" si="23"/>
        <v>6.4441036216154046E-3</v>
      </c>
      <c r="AN52" s="1">
        <f t="shared" si="24"/>
        <v>67.044454079286552</v>
      </c>
      <c r="AO52" s="1">
        <f t="shared" si="25"/>
        <v>8.188067786681211</v>
      </c>
      <c r="AP52" s="1">
        <f t="shared" si="26"/>
        <v>0.26151067419286961</v>
      </c>
    </row>
    <row r="53" spans="1:42" x14ac:dyDescent="0.45">
      <c r="A53" s="16">
        <f t="shared" si="12"/>
        <v>43</v>
      </c>
      <c r="B53" s="17">
        <f t="shared" si="13"/>
        <v>95909.999981332323</v>
      </c>
      <c r="C53" s="18">
        <f t="shared" si="0"/>
        <v>202.99999847648724</v>
      </c>
      <c r="D53" s="19">
        <v>2.1165676E-3</v>
      </c>
      <c r="E53" s="20">
        <f t="shared" si="1"/>
        <v>0.99788343239999999</v>
      </c>
      <c r="F53" s="21">
        <f t="shared" si="2"/>
        <v>2.01751643077565E-3</v>
      </c>
      <c r="G53" s="1"/>
      <c r="H53" s="22">
        <f t="shared" si="3"/>
        <v>3542630.998925148</v>
      </c>
      <c r="I53" s="19">
        <f t="shared" si="14"/>
        <v>35.9370347160325</v>
      </c>
      <c r="J53" s="23">
        <f t="shared" si="15"/>
        <v>36.4370347160325</v>
      </c>
      <c r="K53" s="1"/>
      <c r="L53" s="3">
        <f t="shared" si="4"/>
        <v>43</v>
      </c>
      <c r="M53" s="24">
        <f t="shared" si="5"/>
        <v>62787.84504460379</v>
      </c>
      <c r="N53" s="24">
        <f t="shared" si="6"/>
        <v>1925670.2867972874</v>
      </c>
      <c r="O53" s="24">
        <f t="shared" si="7"/>
        <v>131.59182909821601</v>
      </c>
      <c r="P53" s="24">
        <f t="shared" si="8"/>
        <v>43908.724585806951</v>
      </c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3">
        <f t="shared" si="16"/>
        <v>43</v>
      </c>
      <c r="AC53" s="24">
        <f t="shared" si="17"/>
        <v>41104.300762303188</v>
      </c>
      <c r="AD53" s="24">
        <f t="shared" si="9"/>
        <v>1062611.0743637742</v>
      </c>
      <c r="AE53" s="24">
        <f t="shared" si="18"/>
        <v>85.302510420559372</v>
      </c>
      <c r="AF53" s="24">
        <f t="shared" si="10"/>
        <v>20370.924359396118</v>
      </c>
      <c r="AG53" s="1"/>
      <c r="AH53" s="25">
        <f t="shared" si="11"/>
        <v>30.669475683220416</v>
      </c>
      <c r="AI53" s="1">
        <f t="shared" si="19"/>
        <v>0.69239491668394226</v>
      </c>
      <c r="AJ53" s="1">
        <f t="shared" si="20"/>
        <v>30.669475683220238</v>
      </c>
      <c r="AK53" s="26">
        <f t="shared" si="21"/>
        <v>1.7763568394002505E-13</v>
      </c>
      <c r="AL53" s="1">
        <f t="shared" si="22"/>
        <v>0.48582596716004267</v>
      </c>
      <c r="AM53" s="1">
        <f t="shared" si="23"/>
        <v>6.4152465102793044E-3</v>
      </c>
      <c r="AN53" s="1">
        <f t="shared" si="24"/>
        <v>66.744224692945764</v>
      </c>
      <c r="AO53" s="1">
        <f t="shared" si="25"/>
        <v>8.1697138684868129</v>
      </c>
      <c r="AP53" s="1">
        <f t="shared" si="26"/>
        <v>0.26637931319303731</v>
      </c>
    </row>
    <row r="54" spans="1:42" x14ac:dyDescent="0.45">
      <c r="A54" s="16">
        <f t="shared" si="12"/>
        <v>44</v>
      </c>
      <c r="B54" s="17">
        <f t="shared" si="13"/>
        <v>95706.999982855836</v>
      </c>
      <c r="C54" s="18">
        <f t="shared" si="0"/>
        <v>222.00000473743421</v>
      </c>
      <c r="D54" s="19">
        <v>2.3195796000000002E-3</v>
      </c>
      <c r="E54" s="20">
        <f t="shared" si="1"/>
        <v>0.99768042040000005</v>
      </c>
      <c r="F54" s="21">
        <f t="shared" si="2"/>
        <v>2.2203182802201116E-3</v>
      </c>
      <c r="G54" s="1"/>
      <c r="H54" s="22">
        <f t="shared" si="3"/>
        <v>3446720.9989438159</v>
      </c>
      <c r="I54" s="19">
        <f t="shared" si="14"/>
        <v>35.013259213654521</v>
      </c>
      <c r="J54" s="23">
        <f t="shared" si="15"/>
        <v>35.513259213654521</v>
      </c>
      <c r="K54" s="1"/>
      <c r="L54" s="3">
        <f t="shared" si="4"/>
        <v>44</v>
      </c>
      <c r="M54" s="24">
        <f t="shared" si="5"/>
        <v>62040.686107225141</v>
      </c>
      <c r="N54" s="24">
        <f t="shared" si="6"/>
        <v>1862882.4417526836</v>
      </c>
      <c r="O54" s="24">
        <f t="shared" si="7"/>
        <v>142.49744408134023</v>
      </c>
      <c r="P54" s="24">
        <f t="shared" si="8"/>
        <v>43777.132756708736</v>
      </c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3">
        <f t="shared" si="16"/>
        <v>44</v>
      </c>
      <c r="AC54" s="24">
        <f t="shared" si="17"/>
        <v>40216.982387335578</v>
      </c>
      <c r="AD54" s="24">
        <f t="shared" si="9"/>
        <v>1021506.773601471</v>
      </c>
      <c r="AE54" s="24">
        <f t="shared" si="18"/>
        <v>91.466311425220994</v>
      </c>
      <c r="AF54" s="24">
        <f t="shared" si="10"/>
        <v>20285.621848975559</v>
      </c>
      <c r="AG54" s="1"/>
      <c r="AH54" s="25">
        <f t="shared" si="11"/>
        <v>30.02678659183519</v>
      </c>
      <c r="AI54" s="1">
        <f t="shared" si="19"/>
        <v>0.69863340524330209</v>
      </c>
      <c r="AJ54" s="1">
        <f t="shared" si="20"/>
        <v>30.026786591834998</v>
      </c>
      <c r="AK54" s="26">
        <f t="shared" si="21"/>
        <v>1.9184653865522705E-13</v>
      </c>
      <c r="AL54" s="1">
        <f t="shared" si="22"/>
        <v>0.49446561571401187</v>
      </c>
      <c r="AM54" s="1">
        <f t="shared" si="23"/>
        <v>6.3769807921599253E-3</v>
      </c>
      <c r="AN54" s="1">
        <f t="shared" si="24"/>
        <v>66.346108161631747</v>
      </c>
      <c r="AO54" s="1">
        <f t="shared" si="25"/>
        <v>8.145312035866505</v>
      </c>
      <c r="AP54" s="1">
        <f t="shared" si="26"/>
        <v>0.27126818951986553</v>
      </c>
    </row>
    <row r="55" spans="1:42" x14ac:dyDescent="0.45">
      <c r="A55" s="16">
        <f t="shared" si="12"/>
        <v>45</v>
      </c>
      <c r="B55" s="17">
        <f t="shared" si="13"/>
        <v>95484.999978118401</v>
      </c>
      <c r="C55" s="18">
        <f t="shared" si="0"/>
        <v>240.00000058799924</v>
      </c>
      <c r="D55" s="19">
        <v>2.5134837999999998E-3</v>
      </c>
      <c r="E55" s="20">
        <f t="shared" si="1"/>
        <v>0.99748651619999995</v>
      </c>
      <c r="F55" s="21">
        <f t="shared" si="2"/>
        <v>2.4192281794591119E-3</v>
      </c>
      <c r="G55" s="1"/>
      <c r="H55" s="22">
        <f t="shared" si="3"/>
        <v>3351013.9989609602</v>
      </c>
      <c r="I55" s="19">
        <f t="shared" si="14"/>
        <v>34.094664080524559</v>
      </c>
      <c r="J55" s="23">
        <f t="shared" si="15"/>
        <v>34.594664080524559</v>
      </c>
      <c r="K55" s="1"/>
      <c r="L55" s="3">
        <f t="shared" si="4"/>
        <v>45</v>
      </c>
      <c r="M55" s="24">
        <f t="shared" si="5"/>
        <v>61289.946642484734</v>
      </c>
      <c r="N55" s="24">
        <f t="shared" si="6"/>
        <v>1800841.7556454584</v>
      </c>
      <c r="O55" s="24">
        <f t="shared" si="7"/>
        <v>152.54098124376094</v>
      </c>
      <c r="P55" s="24">
        <f t="shared" si="8"/>
        <v>43634.635312627397</v>
      </c>
      <c r="Q55" s="1">
        <f>N61/M55/(1+$M$5)^(5+1)</f>
        <v>22.202520174488559</v>
      </c>
      <c r="R55" s="1"/>
      <c r="S55" s="1"/>
      <c r="T55" s="1">
        <f>SUM(T61:T116)</f>
        <v>22.202520174488551</v>
      </c>
      <c r="U55" s="1"/>
      <c r="V55" s="1"/>
      <c r="W55" s="1"/>
      <c r="X55" s="1"/>
      <c r="Y55" s="1"/>
      <c r="Z55" s="1"/>
      <c r="AA55" s="1"/>
      <c r="AB55" s="3">
        <f t="shared" si="16"/>
        <v>45</v>
      </c>
      <c r="AC55" s="24">
        <f t="shared" si="17"/>
        <v>39340.813324600371</v>
      </c>
      <c r="AD55" s="24">
        <f t="shared" si="9"/>
        <v>981289.79121413536</v>
      </c>
      <c r="AE55" s="24">
        <f t="shared" si="18"/>
        <v>96.953128757504444</v>
      </c>
      <c r="AF55" s="24">
        <f t="shared" si="10"/>
        <v>20194.155537550338</v>
      </c>
      <c r="AG55" s="1"/>
      <c r="AH55" s="25">
        <f t="shared" si="11"/>
        <v>29.382335183779677</v>
      </c>
      <c r="AI55" s="1">
        <f t="shared" si="19"/>
        <v>0.70488900035158697</v>
      </c>
      <c r="AJ55" s="1">
        <f t="shared" si="20"/>
        <v>29.382335183779489</v>
      </c>
      <c r="AK55" s="26">
        <f t="shared" si="21"/>
        <v>1.8829382497642655E-13</v>
      </c>
      <c r="AL55" s="1">
        <f t="shared" si="22"/>
        <v>0.50319882131645233</v>
      </c>
      <c r="AM55" s="1">
        <f t="shared" si="23"/>
        <v>6.3303184997927642E-3</v>
      </c>
      <c r="AN55" s="1">
        <f t="shared" si="24"/>
        <v>65.8606336718438</v>
      </c>
      <c r="AO55" s="1">
        <f t="shared" si="25"/>
        <v>8.1154564672508602</v>
      </c>
      <c r="AP55" s="1">
        <f t="shared" si="26"/>
        <v>0.2762018885323636</v>
      </c>
    </row>
    <row r="56" spans="1:42" x14ac:dyDescent="0.45">
      <c r="A56" s="16">
        <f t="shared" si="12"/>
        <v>46</v>
      </c>
      <c r="B56" s="17">
        <f t="shared" si="13"/>
        <v>95244.999977530402</v>
      </c>
      <c r="C56" s="18">
        <f t="shared" si="0"/>
        <v>262.0000030851952</v>
      </c>
      <c r="D56" s="19">
        <v>2.7508006000000001E-3</v>
      </c>
      <c r="E56" s="20">
        <f t="shared" si="1"/>
        <v>0.99724919940000001</v>
      </c>
      <c r="F56" s="21">
        <f t="shared" si="2"/>
        <v>2.635308960006421E-3</v>
      </c>
      <c r="G56" s="1"/>
      <c r="H56" s="22">
        <f t="shared" si="3"/>
        <v>3255528.9989828416</v>
      </c>
      <c r="I56" s="19">
        <f t="shared" si="14"/>
        <v>33.180576405594678</v>
      </c>
      <c r="J56" s="23">
        <f t="shared" si="15"/>
        <v>33.680576405594678</v>
      </c>
      <c r="K56" s="1"/>
      <c r="L56" s="3">
        <f t="shared" si="4"/>
        <v>46</v>
      </c>
      <c r="M56" s="24">
        <f t="shared" si="5"/>
        <v>60536.523831412698</v>
      </c>
      <c r="N56" s="24">
        <f t="shared" si="6"/>
        <v>1739551.8090029736</v>
      </c>
      <c r="O56" s="24">
        <f t="shared" si="7"/>
        <v>164.89131876288329</v>
      </c>
      <c r="P56" s="24">
        <f t="shared" si="8"/>
        <v>43482.09433138364</v>
      </c>
      <c r="Q56" s="35">
        <f>N61/M60/(1+M5)</f>
        <v>24.885809908935972</v>
      </c>
      <c r="R56" s="1"/>
      <c r="S56" s="1"/>
      <c r="T56" s="1"/>
      <c r="U56" s="1"/>
      <c r="V56" s="1"/>
      <c r="W56" s="1"/>
      <c r="X56" s="1"/>
      <c r="Y56" s="1"/>
      <c r="Z56" s="1"/>
      <c r="AA56" s="1"/>
      <c r="AB56" s="3">
        <f t="shared" si="16"/>
        <v>46</v>
      </c>
      <c r="AC56" s="24">
        <f t="shared" si="17"/>
        <v>38476.253015441689</v>
      </c>
      <c r="AD56" s="24">
        <f t="shared" si="9"/>
        <v>941948.97788953502</v>
      </c>
      <c r="AE56" s="24">
        <f t="shared" si="18"/>
        <v>103.77536901983021</v>
      </c>
      <c r="AF56" s="24">
        <f t="shared" si="10"/>
        <v>20097.202408792833</v>
      </c>
      <c r="AG56" s="1"/>
      <c r="AH56" s="25">
        <f t="shared" si="11"/>
        <v>28.73557480517756</v>
      </c>
      <c r="AI56" s="1">
        <f t="shared" si="19"/>
        <v>0.71116700829763735</v>
      </c>
      <c r="AJ56" s="1">
        <f t="shared" si="20"/>
        <v>28.735574805177372</v>
      </c>
      <c r="AK56" s="26">
        <f t="shared" si="21"/>
        <v>1.8829382497642655E-13</v>
      </c>
      <c r="AL56" s="1">
        <f t="shared" si="22"/>
        <v>0.51203551753244203</v>
      </c>
      <c r="AM56" s="1">
        <f t="shared" si="23"/>
        <v>6.277003841430262E-3</v>
      </c>
      <c r="AN56" s="1">
        <f t="shared" si="24"/>
        <v>65.305947966240339</v>
      </c>
      <c r="AO56" s="1">
        <f t="shared" si="25"/>
        <v>8.0812095608417636</v>
      </c>
      <c r="AP56" s="1">
        <f t="shared" si="26"/>
        <v>0.28122665426500171</v>
      </c>
    </row>
    <row r="57" spans="1:42" x14ac:dyDescent="0.45">
      <c r="A57" s="16">
        <f t="shared" si="12"/>
        <v>47</v>
      </c>
      <c r="B57" s="17">
        <f t="shared" si="13"/>
        <v>94982.999974445207</v>
      </c>
      <c r="C57" s="18">
        <f t="shared" si="0"/>
        <v>284.99999629602826</v>
      </c>
      <c r="D57" s="19">
        <v>3.0005369000000001E-3</v>
      </c>
      <c r="E57" s="20">
        <f t="shared" si="1"/>
        <v>0.99699946309999998</v>
      </c>
      <c r="F57" s="21">
        <f t="shared" si="2"/>
        <v>2.8794626382004757E-3</v>
      </c>
      <c r="G57" s="1"/>
      <c r="H57" s="22">
        <f t="shared" si="3"/>
        <v>3160283.9990053112</v>
      </c>
      <c r="I57" s="19">
        <f t="shared" si="14"/>
        <v>32.272101321874153</v>
      </c>
      <c r="J57" s="23">
        <f t="shared" si="15"/>
        <v>32.772101321874153</v>
      </c>
      <c r="K57" s="1"/>
      <c r="L57" s="3">
        <f t="shared" si="4"/>
        <v>47</v>
      </c>
      <c r="M57" s="24">
        <f t="shared" si="5"/>
        <v>59778.137180969308</v>
      </c>
      <c r="N57" s="24">
        <f t="shared" si="6"/>
        <v>1679015.2851715609</v>
      </c>
      <c r="O57" s="24">
        <f t="shared" si="7"/>
        <v>177.6080112637373</v>
      </c>
      <c r="P57" s="24">
        <f t="shared" si="8"/>
        <v>43317.203012620754</v>
      </c>
      <c r="Q57" s="35">
        <f>Q56*M60/M55</f>
        <v>23.335071840935484</v>
      </c>
      <c r="R57" s="1"/>
      <c r="S57" s="1"/>
      <c r="T57" s="1"/>
      <c r="U57" s="1"/>
      <c r="V57" s="1"/>
      <c r="W57" s="1"/>
      <c r="X57" s="1"/>
      <c r="Y57" s="1"/>
      <c r="Z57" s="1"/>
      <c r="AA57" s="1"/>
      <c r="AB57" s="3">
        <f t="shared" si="16"/>
        <v>47</v>
      </c>
      <c r="AC57" s="24">
        <f t="shared" si="17"/>
        <v>37621.739530107494</v>
      </c>
      <c r="AD57" s="24">
        <f t="shared" si="9"/>
        <v>903472.72487409331</v>
      </c>
      <c r="AE57" s="24">
        <f t="shared" si="18"/>
        <v>110.68282833342421</v>
      </c>
      <c r="AF57" s="24">
        <f t="shared" si="10"/>
        <v>19993.427039773003</v>
      </c>
      <c r="AG57" s="1"/>
      <c r="AH57" s="25">
        <f t="shared" si="11"/>
        <v>28.087447423940212</v>
      </c>
      <c r="AI57" s="1">
        <f t="shared" si="19"/>
        <v>0.71745828553737068</v>
      </c>
      <c r="AJ57" s="1">
        <f t="shared" si="20"/>
        <v>28.087447423940045</v>
      </c>
      <c r="AK57" s="26">
        <f t="shared" si="21"/>
        <v>1.6697754290362354E-13</v>
      </c>
      <c r="AL57" s="1">
        <f t="shared" si="22"/>
        <v>0.52096149157351268</v>
      </c>
      <c r="AM57" s="1">
        <f t="shared" si="23"/>
        <v>6.2151000872893158E-3</v>
      </c>
      <c r="AN57" s="1">
        <f t="shared" si="24"/>
        <v>64.661901308157937</v>
      </c>
      <c r="AO57" s="1">
        <f t="shared" si="25"/>
        <v>8.0412624200530818</v>
      </c>
      <c r="AP57" s="1">
        <f t="shared" si="26"/>
        <v>0.28629381298633594</v>
      </c>
    </row>
    <row r="58" spans="1:42" x14ac:dyDescent="0.45">
      <c r="A58" s="16">
        <f t="shared" si="12"/>
        <v>48</v>
      </c>
      <c r="B58" s="17">
        <f t="shared" si="13"/>
        <v>94697.999978149179</v>
      </c>
      <c r="C58" s="18">
        <f t="shared" si="0"/>
        <v>310.00000147966784</v>
      </c>
      <c r="D58" s="19">
        <v>3.2735644000000002E-3</v>
      </c>
      <c r="E58" s="20">
        <f t="shared" si="1"/>
        <v>0.99672643559999996</v>
      </c>
      <c r="F58" s="21">
        <f t="shared" si="2"/>
        <v>3.1415658087445759E-3</v>
      </c>
      <c r="G58" s="1"/>
      <c r="H58" s="22">
        <f t="shared" si="3"/>
        <v>3065300.9990308657</v>
      </c>
      <c r="I58" s="19">
        <f t="shared" si="14"/>
        <v>31.369226380051952</v>
      </c>
      <c r="J58" s="23">
        <f t="shared" si="15"/>
        <v>31.869226380051952</v>
      </c>
      <c r="K58" s="1"/>
      <c r="L58" s="3">
        <f t="shared" si="4"/>
        <v>48</v>
      </c>
      <c r="M58" s="24">
        <f t="shared" si="5"/>
        <v>59014.469001264697</v>
      </c>
      <c r="N58" s="24">
        <f t="shared" si="6"/>
        <v>1619237.1479905916</v>
      </c>
      <c r="O58" s="24">
        <f t="shared" si="7"/>
        <v>191.29366809364393</v>
      </c>
      <c r="P58" s="24">
        <f t="shared" si="8"/>
        <v>43139.595001357018</v>
      </c>
      <c r="Q58" s="35">
        <f>Q57/(1+M5)^5</f>
        <v>22.202520174488562</v>
      </c>
      <c r="R58" s="1"/>
      <c r="S58" s="1"/>
      <c r="T58" s="1"/>
      <c r="U58" s="1"/>
      <c r="V58" s="1"/>
      <c r="W58" s="1"/>
      <c r="X58" s="1"/>
      <c r="Y58" s="1"/>
      <c r="Z58" s="1"/>
      <c r="AA58" s="1"/>
      <c r="AB58" s="3">
        <f t="shared" si="16"/>
        <v>48</v>
      </c>
      <c r="AC58" s="24">
        <f t="shared" si="17"/>
        <v>36776.99161867029</v>
      </c>
      <c r="AD58" s="24">
        <f t="shared" si="9"/>
        <v>865850.98534398584</v>
      </c>
      <c r="AE58" s="24">
        <f t="shared" si="18"/>
        <v>118.04279767115185</v>
      </c>
      <c r="AF58" s="24">
        <f t="shared" si="10"/>
        <v>19882.744211439578</v>
      </c>
      <c r="AG58" s="1"/>
      <c r="AH58" s="25">
        <f t="shared" si="11"/>
        <v>27.437968609967342</v>
      </c>
      <c r="AI58" s="1">
        <f t="shared" si="19"/>
        <v>0.723762680936059</v>
      </c>
      <c r="AJ58" s="1">
        <f t="shared" si="20"/>
        <v>27.437968609967179</v>
      </c>
      <c r="AK58" s="26">
        <f t="shared" si="21"/>
        <v>1.6342482922482304E-13</v>
      </c>
      <c r="AL58" s="1">
        <f t="shared" si="22"/>
        <v>0.52997743273671438</v>
      </c>
      <c r="AM58" s="1">
        <f t="shared" si="23"/>
        <v>6.1450144209628244E-3</v>
      </c>
      <c r="AN58" s="1">
        <f t="shared" si="24"/>
        <v>63.932730035697112</v>
      </c>
      <c r="AO58" s="1">
        <f t="shared" si="25"/>
        <v>7.995794521853167</v>
      </c>
      <c r="AP58" s="1">
        <f t="shared" si="26"/>
        <v>0.29141350205308381</v>
      </c>
    </row>
    <row r="59" spans="1:42" x14ac:dyDescent="0.45">
      <c r="A59" s="16">
        <f t="shared" si="12"/>
        <v>49</v>
      </c>
      <c r="B59" s="17">
        <f t="shared" si="13"/>
        <v>94387.999976669511</v>
      </c>
      <c r="C59" s="18">
        <f t="shared" si="0"/>
        <v>332.00000188233389</v>
      </c>
      <c r="D59" s="19">
        <v>3.5173963E-3</v>
      </c>
      <c r="E59" s="20">
        <f t="shared" si="1"/>
        <v>0.99648260369999997</v>
      </c>
      <c r="F59" s="21">
        <f t="shared" si="2"/>
        <v>3.4008560596722518E-3</v>
      </c>
      <c r="G59" s="1"/>
      <c r="H59" s="22">
        <f t="shared" si="3"/>
        <v>2970602.9990527164</v>
      </c>
      <c r="I59" s="19">
        <f t="shared" si="14"/>
        <v>30.472252826492557</v>
      </c>
      <c r="J59" s="23">
        <f t="shared" si="15"/>
        <v>30.972252826492557</v>
      </c>
      <c r="K59" s="1"/>
      <c r="L59" s="3">
        <f t="shared" si="4"/>
        <v>49</v>
      </c>
      <c r="M59" s="24">
        <f t="shared" si="5"/>
        <v>58244.602107668463</v>
      </c>
      <c r="N59" s="24">
        <f t="shared" si="6"/>
        <v>1560222.6789893268</v>
      </c>
      <c r="O59" s="24">
        <f t="shared" si="7"/>
        <v>202.8608249293803</v>
      </c>
      <c r="P59" s="24">
        <f t="shared" si="8"/>
        <v>42948.301333263371</v>
      </c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3">
        <f t="shared" si="16"/>
        <v>49</v>
      </c>
      <c r="AC59" s="24">
        <f t="shared" si="17"/>
        <v>35941.366227901293</v>
      </c>
      <c r="AD59" s="24">
        <f t="shared" si="9"/>
        <v>829073.99372531555</v>
      </c>
      <c r="AE59" s="24">
        <f t="shared" si="18"/>
        <v>123.95335559550325</v>
      </c>
      <c r="AF59" s="24">
        <f t="shared" si="10"/>
        <v>19764.701413768427</v>
      </c>
      <c r="AG59" s="1"/>
      <c r="AH59" s="25">
        <f t="shared" si="11"/>
        <v>26.787421023242057</v>
      </c>
      <c r="AI59" s="1">
        <f t="shared" si="19"/>
        <v>0.73007745075478614</v>
      </c>
      <c r="AJ59" s="1">
        <f t="shared" si="20"/>
        <v>26.787421023241912</v>
      </c>
      <c r="AK59" s="26">
        <f t="shared" si="21"/>
        <v>1.4566126083082054E-13</v>
      </c>
      <c r="AL59" s="1">
        <f t="shared" si="22"/>
        <v>0.53907963850810869</v>
      </c>
      <c r="AM59" s="1">
        <f t="shared" si="23"/>
        <v>6.0665544075014788E-3</v>
      </c>
      <c r="AN59" s="1">
        <f t="shared" si="24"/>
        <v>63.116432055645276</v>
      </c>
      <c r="AO59" s="1">
        <f t="shared" si="25"/>
        <v>7.9445850776264759</v>
      </c>
      <c r="AP59" s="1">
        <f t="shared" si="26"/>
        <v>0.29657894542118746</v>
      </c>
    </row>
    <row r="60" spans="1:42" x14ac:dyDescent="0.45">
      <c r="A60" s="16">
        <f t="shared" si="12"/>
        <v>50</v>
      </c>
      <c r="B60" s="17">
        <f t="shared" si="13"/>
        <v>94055.999974787177</v>
      </c>
      <c r="C60" s="18">
        <f t="shared" si="0"/>
        <v>353.99999675630534</v>
      </c>
      <c r="D60" s="19">
        <v>3.7637152E-3</v>
      </c>
      <c r="E60" s="20">
        <f t="shared" si="1"/>
        <v>0.99623628480000004</v>
      </c>
      <c r="F60" s="21">
        <f t="shared" si="2"/>
        <v>3.6467636239183553E-3</v>
      </c>
      <c r="G60" s="1"/>
      <c r="H60" s="22">
        <f t="shared" si="3"/>
        <v>2876214.999076047</v>
      </c>
      <c r="I60" s="19">
        <f t="shared" si="14"/>
        <v>29.579814151644236</v>
      </c>
      <c r="J60" s="23">
        <f t="shared" si="15"/>
        <v>30.079814151644236</v>
      </c>
      <c r="K60" s="1"/>
      <c r="L60" s="3">
        <f t="shared" si="4"/>
        <v>50</v>
      </c>
      <c r="M60" s="24">
        <f t="shared" si="5"/>
        <v>57470.715771879586</v>
      </c>
      <c r="N60" s="24">
        <f t="shared" si="6"/>
        <v>1501978.0768816583</v>
      </c>
      <c r="O60" s="24">
        <f t="shared" si="7"/>
        <v>214.18278487309558</v>
      </c>
      <c r="P60" s="24">
        <f t="shared" si="8"/>
        <v>42745.440508333988</v>
      </c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3">
        <f t="shared" si="16"/>
        <v>50</v>
      </c>
      <c r="AC60" s="24">
        <f t="shared" si="17"/>
        <v>35116.134773087797</v>
      </c>
      <c r="AD60" s="24">
        <f t="shared" si="9"/>
        <v>793132.62749741424</v>
      </c>
      <c r="AE60" s="24">
        <f t="shared" si="18"/>
        <v>129.58832134559233</v>
      </c>
      <c r="AF60" s="24">
        <f t="shared" si="10"/>
        <v>19640.748058172925</v>
      </c>
      <c r="AG60" s="1"/>
      <c r="AH60" s="25">
        <f t="shared" si="11"/>
        <v>26.134668008025333</v>
      </c>
      <c r="AI60" s="1">
        <f t="shared" si="19"/>
        <v>0.73641362834376622</v>
      </c>
      <c r="AJ60" s="1">
        <f t="shared" si="20"/>
        <v>26.13466800802518</v>
      </c>
      <c r="AK60" s="26">
        <f t="shared" si="21"/>
        <v>1.5276668818842154E-13</v>
      </c>
      <c r="AL60" s="1">
        <f t="shared" si="22"/>
        <v>0.54828778432583081</v>
      </c>
      <c r="AM60" s="1">
        <f t="shared" si="23"/>
        <v>5.9827523154001305E-3</v>
      </c>
      <c r="AN60" s="1">
        <f t="shared" si="24"/>
        <v>62.244555089422853</v>
      </c>
      <c r="AO60" s="1">
        <f t="shared" si="25"/>
        <v>7.8895218542965484</v>
      </c>
      <c r="AP60" s="1">
        <f t="shared" si="26"/>
        <v>0.30187955140175743</v>
      </c>
    </row>
    <row r="61" spans="1:42" x14ac:dyDescent="0.45">
      <c r="A61" s="16">
        <f t="shared" si="12"/>
        <v>51</v>
      </c>
      <c r="B61" s="17">
        <f t="shared" si="13"/>
        <v>93701.999978030872</v>
      </c>
      <c r="C61" s="18">
        <f t="shared" si="0"/>
        <v>379.99999962029688</v>
      </c>
      <c r="D61" s="19">
        <v>4.0554097000000001E-3</v>
      </c>
      <c r="E61" s="20">
        <f t="shared" si="1"/>
        <v>0.99594459030000004</v>
      </c>
      <c r="F61" s="21">
        <f t="shared" si="2"/>
        <v>3.9166719843156707E-3</v>
      </c>
      <c r="G61" s="1"/>
      <c r="H61" s="22">
        <f t="shared" si="3"/>
        <v>2782158.9991012597</v>
      </c>
      <c r="I61" s="19">
        <f t="shared" si="14"/>
        <v>28.691564745187481</v>
      </c>
      <c r="J61" s="23">
        <f t="shared" si="15"/>
        <v>29.191564745187481</v>
      </c>
      <c r="K61" s="1"/>
      <c r="L61" s="3">
        <f t="shared" si="4"/>
        <v>51</v>
      </c>
      <c r="M61" s="24">
        <f t="shared" si="5"/>
        <v>56693.094597086107</v>
      </c>
      <c r="N61" s="24">
        <f t="shared" si="6"/>
        <v>1444507.3611097788</v>
      </c>
      <c r="O61" s="24">
        <f t="shared" si="7"/>
        <v>227.65966961721111</v>
      </c>
      <c r="P61" s="24">
        <f t="shared" si="8"/>
        <v>42531.257723460891</v>
      </c>
      <c r="Q61" s="1"/>
      <c r="R61" s="1">
        <f>B61/$B$55</f>
        <v>0.98132690998066574</v>
      </c>
      <c r="S61" s="1">
        <f>(1+$M$5)^(L61-$L$61)/(1+$M$4)^(L61-$L$55)</f>
        <v>0.88797138218619198</v>
      </c>
      <c r="T61" s="1">
        <f>R61*S61</f>
        <v>0.87139021263203653</v>
      </c>
      <c r="U61" s="1"/>
      <c r="V61" s="1"/>
      <c r="W61" s="1"/>
      <c r="X61" s="1"/>
      <c r="Y61" s="1"/>
      <c r="Z61" s="1"/>
      <c r="AA61" s="1"/>
      <c r="AB61" s="3">
        <f t="shared" si="16"/>
        <v>51</v>
      </c>
      <c r="AC61" s="24">
        <f t="shared" si="17"/>
        <v>34301.370042770963</v>
      </c>
      <c r="AD61" s="24">
        <f t="shared" si="9"/>
        <v>758016.49272432644</v>
      </c>
      <c r="AE61" s="24">
        <f t="shared" si="18"/>
        <v>136.39190847896353</v>
      </c>
      <c r="AF61" s="24">
        <f t="shared" si="10"/>
        <v>19511.159736827332</v>
      </c>
      <c r="AG61" s="1"/>
      <c r="AH61" s="25">
        <f t="shared" si="11"/>
        <v>25.479423400253459</v>
      </c>
      <c r="AI61" s="1">
        <f t="shared" si="19"/>
        <v>0.74277399145551015</v>
      </c>
      <c r="AJ61" s="1">
        <f t="shared" si="20"/>
        <v>25.479423400253317</v>
      </c>
      <c r="AK61" s="26">
        <f t="shared" si="21"/>
        <v>1.4210854715202004E-13</v>
      </c>
      <c r="AL61" s="1">
        <f t="shared" si="22"/>
        <v>0.55760783856475082</v>
      </c>
      <c r="AM61" s="1">
        <f t="shared" si="23"/>
        <v>5.8946361820005899E-3</v>
      </c>
      <c r="AN61" s="1">
        <f t="shared" si="24"/>
        <v>61.327794837534029</v>
      </c>
      <c r="AO61" s="1">
        <f t="shared" si="25"/>
        <v>7.8312064739434648</v>
      </c>
      <c r="AP61" s="1">
        <f t="shared" si="26"/>
        <v>0.30735414812666301</v>
      </c>
    </row>
    <row r="62" spans="1:42" x14ac:dyDescent="0.45">
      <c r="A62" s="16">
        <f t="shared" si="12"/>
        <v>52</v>
      </c>
      <c r="B62" s="17">
        <f t="shared" si="13"/>
        <v>93321.999978410575</v>
      </c>
      <c r="C62" s="18">
        <f t="shared" si="0"/>
        <v>411.99999992428639</v>
      </c>
      <c r="D62" s="19">
        <v>4.4148217999999996E-3</v>
      </c>
      <c r="E62" s="20">
        <f t="shared" si="1"/>
        <v>0.99558517820000003</v>
      </c>
      <c r="F62" s="21">
        <f t="shared" si="2"/>
        <v>4.2433724080485156E-3</v>
      </c>
      <c r="G62" s="1"/>
      <c r="H62" s="22">
        <f t="shared" si="3"/>
        <v>2688456.9991232287</v>
      </c>
      <c r="I62" s="19">
        <f t="shared" si="14"/>
        <v>27.808394588041249</v>
      </c>
      <c r="J62" s="23">
        <f t="shared" si="15"/>
        <v>28.308394588041249</v>
      </c>
      <c r="K62" s="1"/>
      <c r="L62" s="3">
        <f t="shared" si="4"/>
        <v>52</v>
      </c>
      <c r="M62" s="24">
        <f t="shared" si="5"/>
        <v>55909.620274556291</v>
      </c>
      <c r="N62" s="24">
        <f t="shared" si="6"/>
        <v>1387814.2665126927</v>
      </c>
      <c r="O62" s="24">
        <f t="shared" si="7"/>
        <v>244.41109855099151</v>
      </c>
      <c r="P62" s="24">
        <f t="shared" si="8"/>
        <v>42303.598053843678</v>
      </c>
      <c r="Q62" s="1"/>
      <c r="R62" s="1">
        <f t="shared" ref="R62:R116" si="27">B62/$B$55</f>
        <v>0.97734722731105927</v>
      </c>
      <c r="S62" s="1">
        <f t="shared" ref="S62:S116" si="28">(1+$M$5)^(L62-$L$61)/(1+$M$4)^(L62-$L$55)</f>
        <v>0.8792657804000531</v>
      </c>
      <c r="T62" s="1">
        <f t="shared" ref="T62:T116" si="29">R62*S62</f>
        <v>0.8593479725434866</v>
      </c>
      <c r="U62" s="1"/>
      <c r="V62" s="1"/>
      <c r="W62" s="1"/>
      <c r="X62" s="1"/>
      <c r="Y62" s="1"/>
      <c r="Z62" s="1"/>
      <c r="AA62" s="1"/>
      <c r="AB62" s="3">
        <f t="shared" si="16"/>
        <v>52</v>
      </c>
      <c r="AC62" s="24">
        <f t="shared" si="17"/>
        <v>33495.699191704298</v>
      </c>
      <c r="AD62" s="24">
        <f t="shared" si="9"/>
        <v>723715.12268155545</v>
      </c>
      <c r="AE62" s="24">
        <f t="shared" si="18"/>
        <v>144.99219685893294</v>
      </c>
      <c r="AF62" s="24">
        <f t="shared" si="10"/>
        <v>19374.767828348369</v>
      </c>
      <c r="AG62" s="1"/>
      <c r="AH62" s="25">
        <f t="shared" si="11"/>
        <v>24.822459170667415</v>
      </c>
      <c r="AI62" s="1">
        <f t="shared" si="19"/>
        <v>0.74915104668348564</v>
      </c>
      <c r="AJ62" s="1">
        <f t="shared" si="20"/>
        <v>24.82245917066729</v>
      </c>
      <c r="AK62" s="26">
        <f t="shared" si="21"/>
        <v>1.2434497875801753E-13</v>
      </c>
      <c r="AL62" s="1">
        <f t="shared" si="22"/>
        <v>0.56702826985651078</v>
      </c>
      <c r="AM62" s="1">
        <f t="shared" si="23"/>
        <v>5.8009791095486873E-3</v>
      </c>
      <c r="AN62" s="1">
        <f t="shared" si="24"/>
        <v>60.353386655744437</v>
      </c>
      <c r="AO62" s="1">
        <f t="shared" si="25"/>
        <v>7.7687442135614448</v>
      </c>
      <c r="AP62" s="1">
        <f t="shared" si="26"/>
        <v>0.31297238360418916</v>
      </c>
    </row>
    <row r="63" spans="1:42" x14ac:dyDescent="0.45">
      <c r="A63" s="16">
        <f t="shared" si="12"/>
        <v>53</v>
      </c>
      <c r="B63" s="17">
        <f t="shared" si="13"/>
        <v>92909.999978486288</v>
      </c>
      <c r="C63" s="18">
        <f t="shared" si="0"/>
        <v>444.99999847995059</v>
      </c>
      <c r="D63" s="19">
        <v>4.7895812999999999E-3</v>
      </c>
      <c r="E63" s="20">
        <f t="shared" si="1"/>
        <v>0.99521041870000004</v>
      </c>
      <c r="F63" s="21">
        <f t="shared" si="2"/>
        <v>4.6119900904244915E-3</v>
      </c>
      <c r="G63" s="1"/>
      <c r="H63" s="22">
        <f t="shared" si="3"/>
        <v>2595134.9991448182</v>
      </c>
      <c r="I63" s="19">
        <f t="shared" si="14"/>
        <v>26.931708101880666</v>
      </c>
      <c r="J63" s="23">
        <f t="shared" si="15"/>
        <v>27.431708101880666</v>
      </c>
      <c r="K63" s="1"/>
      <c r="L63" s="3">
        <f t="shared" si="4"/>
        <v>53</v>
      </c>
      <c r="M63" s="24">
        <f t="shared" si="5"/>
        <v>55117.075643901801</v>
      </c>
      <c r="N63" s="24">
        <f t="shared" si="6"/>
        <v>1331904.6462381363</v>
      </c>
      <c r="O63" s="24">
        <f t="shared" si="7"/>
        <v>261.39959996358834</v>
      </c>
      <c r="P63" s="24">
        <f t="shared" si="8"/>
        <v>42059.186955292687</v>
      </c>
      <c r="Q63" s="1"/>
      <c r="R63" s="1">
        <f t="shared" si="27"/>
        <v>0.97303241346575686</v>
      </c>
      <c r="S63" s="1">
        <f t="shared" si="28"/>
        <v>0.87064552765103287</v>
      </c>
      <c r="T63" s="1">
        <f t="shared" si="29"/>
        <v>0.84716631904345185</v>
      </c>
      <c r="U63" s="1"/>
      <c r="V63" s="1"/>
      <c r="W63" s="1"/>
      <c r="X63" s="1"/>
      <c r="Y63" s="1"/>
      <c r="Z63" s="1"/>
      <c r="AA63" s="1"/>
      <c r="AB63" s="3">
        <f t="shared" si="16"/>
        <v>53</v>
      </c>
      <c r="AC63" s="24">
        <f t="shared" si="17"/>
        <v>32697.148081358639</v>
      </c>
      <c r="AD63" s="24">
        <f t="shared" si="9"/>
        <v>690219.42348985118</v>
      </c>
      <c r="AE63" s="24">
        <f t="shared" si="18"/>
        <v>153.55000245961259</v>
      </c>
      <c r="AF63" s="24">
        <f t="shared" si="10"/>
        <v>19229.775631489436</v>
      </c>
      <c r="AG63" s="1"/>
      <c r="AH63" s="25">
        <f t="shared" si="11"/>
        <v>24.165009312962333</v>
      </c>
      <c r="AI63" s="1">
        <f t="shared" si="19"/>
        <v>0.75553281583224408</v>
      </c>
      <c r="AJ63" s="1">
        <f t="shared" si="20"/>
        <v>24.165009312962187</v>
      </c>
      <c r="AK63" s="26">
        <f t="shared" si="21"/>
        <v>1.4566126083082054E-13</v>
      </c>
      <c r="AL63" s="1">
        <f t="shared" si="22"/>
        <v>0.57652958097828322</v>
      </c>
      <c r="AM63" s="1">
        <f t="shared" si="23"/>
        <v>5.6997451788836084E-3</v>
      </c>
      <c r="AN63" s="1">
        <f t="shared" si="24"/>
        <v>59.300148841104964</v>
      </c>
      <c r="AO63" s="1">
        <f t="shared" si="25"/>
        <v>7.7006589874571754</v>
      </c>
      <c r="AP63" s="1">
        <f t="shared" si="26"/>
        <v>0.31866981252626586</v>
      </c>
    </row>
    <row r="64" spans="1:42" x14ac:dyDescent="0.45">
      <c r="A64" s="16">
        <f t="shared" si="12"/>
        <v>54</v>
      </c>
      <c r="B64" s="17">
        <f t="shared" si="13"/>
        <v>92464.999980006338</v>
      </c>
      <c r="C64" s="18">
        <f t="shared" si="0"/>
        <v>477.99999957064574</v>
      </c>
      <c r="D64" s="19">
        <v>5.1695235999999999E-3</v>
      </c>
      <c r="E64" s="20">
        <f t="shared" si="1"/>
        <v>0.9948304764</v>
      </c>
      <c r="F64" s="21">
        <f t="shared" si="2"/>
        <v>4.9910776956155097E-3</v>
      </c>
      <c r="G64" s="1"/>
      <c r="H64" s="22">
        <f t="shared" si="3"/>
        <v>2502224.9991663317</v>
      </c>
      <c r="I64" s="19">
        <f t="shared" si="14"/>
        <v>26.06132049648393</v>
      </c>
      <c r="J64" s="23">
        <f t="shared" si="15"/>
        <v>26.56132049648393</v>
      </c>
      <c r="K64" s="1"/>
      <c r="L64" s="3">
        <f t="shared" si="4"/>
        <v>54</v>
      </c>
      <c r="M64" s="24">
        <f t="shared" si="5"/>
        <v>54315.312557233294</v>
      </c>
      <c r="N64" s="24">
        <f t="shared" si="6"/>
        <v>1276787.5705942346</v>
      </c>
      <c r="O64" s="24">
        <f t="shared" si="7"/>
        <v>278.03150294809404</v>
      </c>
      <c r="P64" s="24">
        <f t="shared" si="8"/>
        <v>41797.787355329099</v>
      </c>
      <c r="Q64" s="1"/>
      <c r="R64" s="1">
        <f t="shared" si="27"/>
        <v>0.96837199561392751</v>
      </c>
      <c r="S64" s="1">
        <f t="shared" si="28"/>
        <v>0.86210978718386577</v>
      </c>
      <c r="T64" s="1">
        <f t="shared" si="29"/>
        <v>0.83484297505353844</v>
      </c>
      <c r="U64" s="1"/>
      <c r="V64" s="1"/>
      <c r="W64" s="1"/>
      <c r="X64" s="1"/>
      <c r="Y64" s="1"/>
      <c r="Z64" s="1"/>
      <c r="AA64" s="1"/>
      <c r="AB64" s="3">
        <f t="shared" si="16"/>
        <v>54</v>
      </c>
      <c r="AC64" s="24">
        <f t="shared" si="17"/>
        <v>31905.620276081281</v>
      </c>
      <c r="AD64" s="24">
        <f t="shared" si="9"/>
        <v>657522.27540849254</v>
      </c>
      <c r="AE64" s="24">
        <f t="shared" si="18"/>
        <v>161.71865418621465</v>
      </c>
      <c r="AF64" s="24">
        <f t="shared" si="10"/>
        <v>19076.225629029825</v>
      </c>
      <c r="AG64" s="1"/>
      <c r="AH64" s="25">
        <f t="shared" si="11"/>
        <v>23.506954309594633</v>
      </c>
      <c r="AI64" s="1">
        <f t="shared" si="19"/>
        <v>0.76192045904101624</v>
      </c>
      <c r="AJ64" s="1">
        <f t="shared" si="20"/>
        <v>23.50695430959448</v>
      </c>
      <c r="AK64" s="26">
        <f t="shared" si="21"/>
        <v>1.5276668818842154E-13</v>
      </c>
      <c r="AL64" s="1">
        <f t="shared" si="22"/>
        <v>0.58611456100579562</v>
      </c>
      <c r="AM64" s="1">
        <f t="shared" si="23"/>
        <v>5.5917751005226668E-3</v>
      </c>
      <c r="AN64" s="1">
        <f t="shared" si="24"/>
        <v>58.176828145837725</v>
      </c>
      <c r="AO64" s="1">
        <f t="shared" si="25"/>
        <v>7.6273736073328493</v>
      </c>
      <c r="AP64" s="1">
        <f t="shared" si="26"/>
        <v>0.32447306898536188</v>
      </c>
    </row>
    <row r="65" spans="1:42" x14ac:dyDescent="0.45">
      <c r="A65" s="16">
        <f t="shared" si="12"/>
        <v>55</v>
      </c>
      <c r="B65" s="17">
        <f t="shared" si="13"/>
        <v>91986.999980435692</v>
      </c>
      <c r="C65" s="18">
        <f t="shared" si="0"/>
        <v>509.00000101394835</v>
      </c>
      <c r="D65" s="19">
        <v>5.5333906000000002E-3</v>
      </c>
      <c r="E65" s="20">
        <f t="shared" si="1"/>
        <v>0.99446660939999998</v>
      </c>
      <c r="F65" s="21">
        <f t="shared" si="2"/>
        <v>5.3648885211742678E-3</v>
      </c>
      <c r="G65" s="1"/>
      <c r="H65" s="22">
        <f t="shared" si="3"/>
        <v>2409759.9991863254</v>
      </c>
      <c r="I65" s="19">
        <f t="shared" si="14"/>
        <v>25.196745188981559</v>
      </c>
      <c r="J65" s="23">
        <f t="shared" si="15"/>
        <v>25.696745188981559</v>
      </c>
      <c r="K65" s="1"/>
      <c r="L65" s="3">
        <f t="shared" si="4"/>
        <v>55</v>
      </c>
      <c r="M65" s="24">
        <f t="shared" si="5"/>
        <v>53504.777989998613</v>
      </c>
      <c r="N65" s="24">
        <f t="shared" si="6"/>
        <v>1222472.2580370014</v>
      </c>
      <c r="O65" s="24">
        <f t="shared" si="7"/>
        <v>293.16025876548804</v>
      </c>
      <c r="P65" s="24">
        <f t="shared" si="8"/>
        <v>41519.755852381008</v>
      </c>
      <c r="Q65" s="1"/>
      <c r="R65" s="1">
        <f t="shared" si="27"/>
        <v>0.96336597372902211</v>
      </c>
      <c r="S65" s="1">
        <f t="shared" si="28"/>
        <v>0.85365773044676907</v>
      </c>
      <c r="T65" s="1">
        <f t="shared" si="29"/>
        <v>0.82238481072315872</v>
      </c>
      <c r="U65" s="1"/>
      <c r="V65" s="1"/>
      <c r="W65" s="1"/>
      <c r="X65" s="1"/>
      <c r="Y65" s="1"/>
      <c r="Z65" s="1"/>
      <c r="AA65" s="1"/>
      <c r="AB65" s="3">
        <f t="shared" si="16"/>
        <v>55</v>
      </c>
      <c r="AC65" s="24">
        <f t="shared" si="17"/>
        <v>31121.367892940387</v>
      </c>
      <c r="AD65" s="24">
        <f t="shared" si="9"/>
        <v>625616.65513241128</v>
      </c>
      <c r="AE65" s="24">
        <f t="shared" si="18"/>
        <v>168.84663486885293</v>
      </c>
      <c r="AF65" s="24">
        <f t="shared" si="10"/>
        <v>18914.506974843611</v>
      </c>
      <c r="AG65" s="1"/>
      <c r="AH65" s="25">
        <f t="shared" si="11"/>
        <v>22.847908242241697</v>
      </c>
      <c r="AI65" s="1">
        <f t="shared" si="19"/>
        <v>0.76831772236224427</v>
      </c>
      <c r="AJ65" s="1">
        <f t="shared" si="20"/>
        <v>22.847908242241576</v>
      </c>
      <c r="AK65" s="26">
        <f t="shared" si="21"/>
        <v>1.2079226507921703E-13</v>
      </c>
      <c r="AL65" s="1">
        <f t="shared" si="22"/>
        <v>0.59579053619056677</v>
      </c>
      <c r="AM65" s="1">
        <f t="shared" si="23"/>
        <v>5.478413694660067E-3</v>
      </c>
      <c r="AN65" s="1">
        <f t="shared" si="24"/>
        <v>56.997416079243237</v>
      </c>
      <c r="AO65" s="1">
        <f t="shared" si="25"/>
        <v>7.5496633089988352</v>
      </c>
      <c r="AP65" s="1">
        <f t="shared" si="26"/>
        <v>0.33043126876012474</v>
      </c>
    </row>
    <row r="66" spans="1:42" x14ac:dyDescent="0.45">
      <c r="A66" s="16">
        <f t="shared" si="12"/>
        <v>56</v>
      </c>
      <c r="B66" s="17">
        <f t="shared" si="13"/>
        <v>91477.999979421744</v>
      </c>
      <c r="C66" s="18">
        <f t="shared" si="0"/>
        <v>540.00000363712024</v>
      </c>
      <c r="D66" s="19">
        <v>5.9030586999999999E-3</v>
      </c>
      <c r="E66" s="20">
        <f t="shared" si="1"/>
        <v>0.99409694130000004</v>
      </c>
      <c r="F66" s="21">
        <f t="shared" si="2"/>
        <v>5.7336190389331004E-3</v>
      </c>
      <c r="G66" s="1"/>
      <c r="H66" s="22">
        <f t="shared" si="3"/>
        <v>2317772.9992058896</v>
      </c>
      <c r="I66" s="19">
        <f t="shared" si="14"/>
        <v>24.336944398951438</v>
      </c>
      <c r="J66" s="23">
        <f t="shared" si="15"/>
        <v>24.836944398951438</v>
      </c>
      <c r="K66" s="1"/>
      <c r="L66" s="3">
        <f t="shared" si="4"/>
        <v>56</v>
      </c>
      <c r="M66" s="24">
        <f t="shared" si="5"/>
        <v>52687.061084272354</v>
      </c>
      <c r="N66" s="24">
        <f t="shared" si="6"/>
        <v>1168967.4800470027</v>
      </c>
      <c r="O66" s="24">
        <f t="shared" si="7"/>
        <v>307.96564946475672</v>
      </c>
      <c r="P66" s="24">
        <f t="shared" si="8"/>
        <v>41226.595593615522</v>
      </c>
      <c r="Q66" s="1"/>
      <c r="R66" s="1">
        <f t="shared" si="27"/>
        <v>0.9580352935056301</v>
      </c>
      <c r="S66" s="1">
        <f t="shared" si="28"/>
        <v>0.84528853701101658</v>
      </c>
      <c r="T66" s="1">
        <f t="shared" si="29"/>
        <v>0.80981625165229398</v>
      </c>
      <c r="U66" s="1"/>
      <c r="V66" s="1"/>
      <c r="W66" s="1"/>
      <c r="X66" s="1"/>
      <c r="Y66" s="1"/>
      <c r="Z66" s="1"/>
      <c r="AA66" s="1"/>
      <c r="AB66" s="3">
        <f t="shared" si="16"/>
        <v>56</v>
      </c>
      <c r="AC66" s="24">
        <f t="shared" si="17"/>
        <v>30345.28964693478</v>
      </c>
      <c r="AD66" s="24">
        <f t="shared" si="9"/>
        <v>594495.28723947087</v>
      </c>
      <c r="AE66" s="24">
        <f t="shared" si="18"/>
        <v>175.63489002119297</v>
      </c>
      <c r="AF66" s="24">
        <f t="shared" si="10"/>
        <v>18745.660339974758</v>
      </c>
      <c r="AG66" s="1"/>
      <c r="AH66" s="25">
        <f t="shared" si="11"/>
        <v>22.186993466522122</v>
      </c>
      <c r="AI66" s="1">
        <f t="shared" si="19"/>
        <v>0.77473312496095892</v>
      </c>
      <c r="AJ66" s="1">
        <f t="shared" si="20"/>
        <v>22.186993466521994</v>
      </c>
      <c r="AK66" s="26">
        <f t="shared" si="21"/>
        <v>1.2789769243681803E-13</v>
      </c>
      <c r="AL66" s="1">
        <f t="shared" si="22"/>
        <v>0.60557328628621176</v>
      </c>
      <c r="AM66" s="1">
        <f t="shared" si="23"/>
        <v>5.3618713744389979E-3</v>
      </c>
      <c r="AN66" s="1">
        <f t="shared" si="24"/>
        <v>55.784909779663238</v>
      </c>
      <c r="AO66" s="1">
        <f t="shared" si="25"/>
        <v>7.4689296274408177</v>
      </c>
      <c r="AP66" s="1">
        <f t="shared" si="26"/>
        <v>0.33663549947453042</v>
      </c>
    </row>
    <row r="67" spans="1:42" x14ac:dyDescent="0.45">
      <c r="A67" s="16">
        <f t="shared" si="12"/>
        <v>57</v>
      </c>
      <c r="B67" s="17">
        <f t="shared" si="13"/>
        <v>90937.999975784624</v>
      </c>
      <c r="C67" s="18">
        <f t="shared" si="0"/>
        <v>574.00000109356188</v>
      </c>
      <c r="D67" s="19">
        <v>6.3119928E-3</v>
      </c>
      <c r="E67" s="20">
        <f t="shared" si="1"/>
        <v>0.99368800719999995</v>
      </c>
      <c r="F67" s="21">
        <f t="shared" si="2"/>
        <v>6.1250522610312684E-3</v>
      </c>
      <c r="G67" s="1"/>
      <c r="H67" s="22">
        <f t="shared" si="3"/>
        <v>2226294.9992264677</v>
      </c>
      <c r="I67" s="19">
        <f t="shared" si="14"/>
        <v>23.481459893766033</v>
      </c>
      <c r="J67" s="23">
        <f t="shared" si="15"/>
        <v>23.981459893766033</v>
      </c>
      <c r="K67" s="1"/>
      <c r="L67" s="3">
        <f t="shared" si="4"/>
        <v>57</v>
      </c>
      <c r="M67" s="24">
        <f t="shared" si="5"/>
        <v>51862.555620255916</v>
      </c>
      <c r="N67" s="24">
        <f t="shared" si="6"/>
        <v>1116280.4189627303</v>
      </c>
      <c r="O67" s="24">
        <f t="shared" si="7"/>
        <v>324.14670435422227</v>
      </c>
      <c r="P67" s="24">
        <f t="shared" si="8"/>
        <v>40918.629944150765</v>
      </c>
      <c r="Q67" s="1"/>
      <c r="R67" s="1">
        <f t="shared" si="27"/>
        <v>0.95237995493139471</v>
      </c>
      <c r="S67" s="1">
        <f t="shared" si="28"/>
        <v>0.83700139449130073</v>
      </c>
      <c r="T67" s="1">
        <f t="shared" si="29"/>
        <v>0.79714335036313955</v>
      </c>
      <c r="U67" s="1"/>
      <c r="V67" s="1"/>
      <c r="W67" s="1"/>
      <c r="X67" s="1"/>
      <c r="Y67" s="1"/>
      <c r="Z67" s="1"/>
      <c r="AA67" s="1"/>
      <c r="AB67" s="3">
        <f t="shared" si="16"/>
        <v>57</v>
      </c>
      <c r="AC67" s="24">
        <f t="shared" si="17"/>
        <v>29577.565772068552</v>
      </c>
      <c r="AD67" s="24">
        <f t="shared" si="9"/>
        <v>564149.99759253603</v>
      </c>
      <c r="AE67" s="24">
        <f t="shared" si="18"/>
        <v>183.05067202704933</v>
      </c>
      <c r="AF67" s="24">
        <f t="shared" si="10"/>
        <v>18570.025449953566</v>
      </c>
      <c r="AG67" s="1"/>
      <c r="AH67" s="25">
        <f t="shared" si="11"/>
        <v>21.523822064155002</v>
      </c>
      <c r="AI67" s="1">
        <f t="shared" si="19"/>
        <v>0.78117043230290328</v>
      </c>
      <c r="AJ67" s="1">
        <f t="shared" si="20"/>
        <v>21.523822064154885</v>
      </c>
      <c r="AK67" s="26">
        <f t="shared" si="21"/>
        <v>1.1723955140041653E-13</v>
      </c>
      <c r="AL67" s="1">
        <f t="shared" si="22"/>
        <v>0.61547061466317299</v>
      </c>
      <c r="AM67" s="1">
        <f t="shared" si="23"/>
        <v>5.2433703588682379E-3</v>
      </c>
      <c r="AN67" s="1">
        <f t="shared" si="24"/>
        <v>54.552025213665054</v>
      </c>
      <c r="AO67" s="1">
        <f t="shared" si="25"/>
        <v>7.3859342817049933</v>
      </c>
      <c r="AP67" s="1">
        <f t="shared" si="26"/>
        <v>0.34315161404373723</v>
      </c>
    </row>
    <row r="68" spans="1:42" x14ac:dyDescent="0.45">
      <c r="A68" s="16">
        <f t="shared" si="12"/>
        <v>58</v>
      </c>
      <c r="B68" s="17">
        <f t="shared" si="13"/>
        <v>90363.999974691062</v>
      </c>
      <c r="C68" s="18">
        <f t="shared" si="0"/>
        <v>610.00000405675382</v>
      </c>
      <c r="D68" s="19">
        <v>6.7504758999999996E-3</v>
      </c>
      <c r="E68" s="20">
        <f t="shared" si="1"/>
        <v>0.9932495241</v>
      </c>
      <c r="F68" s="21">
        <f t="shared" si="2"/>
        <v>6.5512815141092013E-3</v>
      </c>
      <c r="G68" s="1"/>
      <c r="H68" s="22">
        <f t="shared" si="3"/>
        <v>2135356.999250683</v>
      </c>
      <c r="I68" s="19">
        <f t="shared" si="14"/>
        <v>22.630616172909001</v>
      </c>
      <c r="J68" s="23">
        <f t="shared" si="15"/>
        <v>23.130616172909001</v>
      </c>
      <c r="K68" s="1"/>
      <c r="L68" s="3">
        <f t="shared" si="4"/>
        <v>58</v>
      </c>
      <c r="M68" s="24">
        <f t="shared" si="5"/>
        <v>51029.952488252129</v>
      </c>
      <c r="N68" s="24">
        <f t="shared" si="6"/>
        <v>1064417.8633424744</v>
      </c>
      <c r="O68" s="24">
        <f t="shared" si="7"/>
        <v>341.09924421038488</v>
      </c>
      <c r="P68" s="24">
        <f t="shared" si="8"/>
        <v>40594.483239796544</v>
      </c>
      <c r="Q68" s="1"/>
      <c r="R68" s="1">
        <f t="shared" si="27"/>
        <v>0.94636853951300326</v>
      </c>
      <c r="S68" s="1">
        <f t="shared" si="28"/>
        <v>0.82879549846687606</v>
      </c>
      <c r="T68" s="1">
        <f t="shared" si="29"/>
        <v>0.78434598543904899</v>
      </c>
      <c r="U68" s="1"/>
      <c r="V68" s="1"/>
      <c r="W68" s="1"/>
      <c r="X68" s="1"/>
      <c r="Y68" s="1"/>
      <c r="Z68" s="1"/>
      <c r="AA68" s="1"/>
      <c r="AB68" s="3">
        <f t="shared" si="16"/>
        <v>58</v>
      </c>
      <c r="AC68" s="24">
        <f t="shared" si="17"/>
        <v>28817.405733285454</v>
      </c>
      <c r="AD68" s="24">
        <f t="shared" si="9"/>
        <v>534572.43182046746</v>
      </c>
      <c r="AE68" s="24">
        <f t="shared" si="18"/>
        <v>190.73556332316159</v>
      </c>
      <c r="AF68" s="24">
        <f t="shared" si="10"/>
        <v>18386.974777926516</v>
      </c>
      <c r="AG68" s="1"/>
      <c r="AH68" s="25">
        <f t="shared" si="11"/>
        <v>20.858688112388887</v>
      </c>
      <c r="AI68" s="1">
        <f t="shared" si="19"/>
        <v>0.78762678982344403</v>
      </c>
      <c r="AJ68" s="1">
        <f t="shared" si="20"/>
        <v>20.858688112388773</v>
      </c>
      <c r="AK68" s="26">
        <f t="shared" si="21"/>
        <v>1.1368683772161603E-13</v>
      </c>
      <c r="AL68" s="1">
        <f t="shared" si="22"/>
        <v>0.6254788825257338</v>
      </c>
      <c r="AM68" s="1">
        <f t="shared" si="23"/>
        <v>5.1229224781501603E-3</v>
      </c>
      <c r="AN68" s="1">
        <f t="shared" si="24"/>
        <v>53.298885462674178</v>
      </c>
      <c r="AO68" s="1">
        <f t="shared" si="25"/>
        <v>7.3006085679670694</v>
      </c>
      <c r="AP68" s="1">
        <f t="shared" si="26"/>
        <v>0.35000324702256413</v>
      </c>
    </row>
    <row r="69" spans="1:42" x14ac:dyDescent="0.45">
      <c r="A69" s="16">
        <f t="shared" si="12"/>
        <v>59</v>
      </c>
      <c r="B69" s="17">
        <f t="shared" si="13"/>
        <v>89753.999970634308</v>
      </c>
      <c r="C69" s="18">
        <f t="shared" si="0"/>
        <v>647.99999624858901</v>
      </c>
      <c r="D69" s="19">
        <v>7.2197338999999998E-3</v>
      </c>
      <c r="E69" s="20">
        <f t="shared" si="1"/>
        <v>0.99278026610000003</v>
      </c>
      <c r="F69" s="21">
        <f t="shared" si="2"/>
        <v>7.0080442137227033E-3</v>
      </c>
      <c r="G69" s="1"/>
      <c r="H69" s="22">
        <f t="shared" si="3"/>
        <v>2044992.9992759919</v>
      </c>
      <c r="I69" s="19">
        <f t="shared" si="14"/>
        <v>21.784421863594631</v>
      </c>
      <c r="J69" s="23">
        <f t="shared" si="15"/>
        <v>22.284421863594631</v>
      </c>
      <c r="K69" s="1"/>
      <c r="L69" s="3">
        <f t="shared" si="4"/>
        <v>59</v>
      </c>
      <c r="M69" s="24">
        <f t="shared" si="5"/>
        <v>50188.559592196129</v>
      </c>
      <c r="N69" s="24">
        <f t="shared" si="6"/>
        <v>1013387.9108542223</v>
      </c>
      <c r="O69" s="24">
        <f t="shared" si="7"/>
        <v>358.79561326544012</v>
      </c>
      <c r="P69" s="24">
        <f t="shared" si="8"/>
        <v>40253.383995586162</v>
      </c>
      <c r="Q69" s="1"/>
      <c r="R69" s="1">
        <f t="shared" si="27"/>
        <v>0.93998010149450251</v>
      </c>
      <c r="S69" s="1">
        <f t="shared" si="28"/>
        <v>0.82067005240347546</v>
      </c>
      <c r="T69" s="1">
        <f t="shared" si="29"/>
        <v>0.77141351915171752</v>
      </c>
      <c r="U69" s="1"/>
      <c r="V69" s="1"/>
      <c r="W69" s="1"/>
      <c r="X69" s="1"/>
      <c r="Y69" s="1"/>
      <c r="Z69" s="1"/>
      <c r="AA69" s="1"/>
      <c r="AB69" s="3">
        <f t="shared" si="16"/>
        <v>59</v>
      </c>
      <c r="AC69" s="24">
        <f t="shared" si="17"/>
        <v>28064.392837796117</v>
      </c>
      <c r="AD69" s="24">
        <f t="shared" si="9"/>
        <v>505755.02608718199</v>
      </c>
      <c r="AE69" s="24">
        <f t="shared" si="18"/>
        <v>198.66403216634831</v>
      </c>
      <c r="AF69" s="24">
        <f t="shared" si="10"/>
        <v>18196.239214603356</v>
      </c>
      <c r="AG69" s="1"/>
      <c r="AH69" s="25">
        <f t="shared" si="11"/>
        <v>20.191611775441249</v>
      </c>
      <c r="AI69" s="1">
        <f t="shared" si="19"/>
        <v>0.79410200179148571</v>
      </c>
      <c r="AJ69" s="1">
        <f t="shared" si="20"/>
        <v>20.191611775441125</v>
      </c>
      <c r="AK69" s="26">
        <f t="shared" si="21"/>
        <v>1.2434497875801753E-13</v>
      </c>
      <c r="AL69" s="1">
        <f t="shared" si="22"/>
        <v>0.63559904962974245</v>
      </c>
      <c r="AM69" s="1">
        <f t="shared" si="23"/>
        <v>5.001060380497635E-3</v>
      </c>
      <c r="AN69" s="1">
        <f t="shared" si="24"/>
        <v>52.031032198697304</v>
      </c>
      <c r="AO69" s="1">
        <f t="shared" si="25"/>
        <v>7.213253925843544</v>
      </c>
      <c r="AP69" s="1">
        <f t="shared" si="26"/>
        <v>0.35724012555634194</v>
      </c>
    </row>
    <row r="70" spans="1:42" x14ac:dyDescent="0.45">
      <c r="A70" s="16">
        <f t="shared" si="12"/>
        <v>60</v>
      </c>
      <c r="B70" s="17">
        <f t="shared" si="13"/>
        <v>89105.999974385719</v>
      </c>
      <c r="C70" s="18">
        <f t="shared" si="0"/>
        <v>688.99999965414463</v>
      </c>
      <c r="D70" s="19">
        <v>7.7323636999999997E-3</v>
      </c>
      <c r="E70" s="20">
        <f t="shared" si="1"/>
        <v>0.99226763630000003</v>
      </c>
      <c r="F70" s="21">
        <f t="shared" si="2"/>
        <v>7.5023006098751243E-3</v>
      </c>
      <c r="G70" s="1"/>
      <c r="H70" s="22">
        <f t="shared" si="3"/>
        <v>1955238.9993053577</v>
      </c>
      <c r="I70" s="19">
        <f t="shared" si="14"/>
        <v>20.942843353617128</v>
      </c>
      <c r="J70" s="23">
        <f t="shared" si="15"/>
        <v>21.442843353617128</v>
      </c>
      <c r="K70" s="1"/>
      <c r="L70" s="3">
        <f t="shared" si="4"/>
        <v>60</v>
      </c>
      <c r="M70" s="24">
        <f t="shared" si="5"/>
        <v>49337.719277046417</v>
      </c>
      <c r="N70" s="24">
        <f t="shared" si="6"/>
        <v>963199.35126202612</v>
      </c>
      <c r="O70" s="24">
        <f t="shared" si="7"/>
        <v>377.75702105334528</v>
      </c>
      <c r="P70" s="24">
        <f t="shared" si="8"/>
        <v>39894.588382320719</v>
      </c>
      <c r="Q70" s="1"/>
      <c r="R70" s="1">
        <f t="shared" si="27"/>
        <v>0.93319369529041718</v>
      </c>
      <c r="S70" s="1">
        <f t="shared" si="28"/>
        <v>0.81262426757599071</v>
      </c>
      <c r="T70" s="1">
        <f t="shared" si="29"/>
        <v>0.7583358431419075</v>
      </c>
      <c r="U70" s="1"/>
      <c r="V70" s="1"/>
      <c r="W70" s="1"/>
      <c r="X70" s="1"/>
      <c r="Y70" s="1"/>
      <c r="Z70" s="1"/>
      <c r="AA70" s="1"/>
      <c r="AB70" s="3">
        <f t="shared" si="16"/>
        <v>60</v>
      </c>
      <c r="AC70" s="24">
        <f t="shared" si="17"/>
        <v>27318.144054949971</v>
      </c>
      <c r="AD70" s="24">
        <f t="shared" si="9"/>
        <v>477690.63324938586</v>
      </c>
      <c r="AE70" s="24">
        <f t="shared" si="18"/>
        <v>207.1122888631763</v>
      </c>
      <c r="AF70" s="24">
        <f t="shared" si="10"/>
        <v>17997.575182437009</v>
      </c>
      <c r="AG70" s="1"/>
      <c r="AH70" s="25">
        <f t="shared" si="11"/>
        <v>19.522575534012152</v>
      </c>
      <c r="AI70" s="1">
        <f t="shared" si="19"/>
        <v>0.80059623826429771</v>
      </c>
      <c r="AJ70" s="1">
        <f t="shared" si="20"/>
        <v>19.522575534012034</v>
      </c>
      <c r="AK70" s="26">
        <f t="shared" si="21"/>
        <v>1.1723955140041653E-13</v>
      </c>
      <c r="AL70" s="1">
        <f t="shared" si="22"/>
        <v>0.64583274086111242</v>
      </c>
      <c r="AM70" s="1">
        <f t="shared" si="23"/>
        <v>4.878404138168313E-3</v>
      </c>
      <c r="AN70" s="1">
        <f t="shared" si="24"/>
        <v>50.754916653503038</v>
      </c>
      <c r="AO70" s="1">
        <f t="shared" si="25"/>
        <v>7.1242484974559277</v>
      </c>
      <c r="AP70" s="1">
        <f t="shared" si="26"/>
        <v>0.36492359755730441</v>
      </c>
    </row>
    <row r="71" spans="1:42" x14ac:dyDescent="0.45">
      <c r="A71" s="16">
        <f t="shared" si="12"/>
        <v>61</v>
      </c>
      <c r="B71" s="17">
        <f t="shared" si="13"/>
        <v>88416.999974731574</v>
      </c>
      <c r="C71" s="18">
        <f t="shared" si="0"/>
        <v>742.99999584976467</v>
      </c>
      <c r="D71" s="19">
        <v>8.4033613000000004E-3</v>
      </c>
      <c r="E71" s="20">
        <f t="shared" si="1"/>
        <v>0.99159663870000003</v>
      </c>
      <c r="F71" s="21">
        <f t="shared" si="2"/>
        <v>8.0979901823922795E-3</v>
      </c>
      <c r="G71" s="1"/>
      <c r="H71" s="22">
        <f t="shared" si="3"/>
        <v>1866132.9993309721</v>
      </c>
      <c r="I71" s="19">
        <f t="shared" si="14"/>
        <v>20.106042954005321</v>
      </c>
      <c r="J71" s="23">
        <f t="shared" si="15"/>
        <v>20.606042954005321</v>
      </c>
      <c r="K71" s="1"/>
      <c r="L71" s="3">
        <f t="shared" si="4"/>
        <v>61</v>
      </c>
      <c r="M71" s="24">
        <f t="shared" si="5"/>
        <v>48476.259125825949</v>
      </c>
      <c r="N71" s="24">
        <f t="shared" si="6"/>
        <v>913861.63198497973</v>
      </c>
      <c r="O71" s="24">
        <f t="shared" si="7"/>
        <v>403.36975990765438</v>
      </c>
      <c r="P71" s="24">
        <f t="shared" si="8"/>
        <v>39516.831361267374</v>
      </c>
      <c r="Q71" s="1"/>
      <c r="R71" s="1">
        <f t="shared" si="27"/>
        <v>0.92597790223588472</v>
      </c>
      <c r="S71" s="1">
        <f t="shared" si="28"/>
        <v>0.80465736299191215</v>
      </c>
      <c r="T71" s="1">
        <f t="shared" si="29"/>
        <v>0.74509493700190965</v>
      </c>
      <c r="U71" s="1"/>
      <c r="V71" s="1"/>
      <c r="W71" s="1"/>
      <c r="X71" s="1"/>
      <c r="Y71" s="1"/>
      <c r="Z71" s="1"/>
      <c r="AA71" s="1"/>
      <c r="AB71" s="3">
        <f t="shared" si="16"/>
        <v>61</v>
      </c>
      <c r="AC71" s="24">
        <f t="shared" si="17"/>
        <v>26578.007617379109</v>
      </c>
      <c r="AD71" s="24">
        <f t="shared" si="9"/>
        <v>450372.48919443588</v>
      </c>
      <c r="AE71" s="24">
        <f t="shared" si="18"/>
        <v>218.98676193378913</v>
      </c>
      <c r="AF71" s="24">
        <f t="shared" si="10"/>
        <v>17790.462893573833</v>
      </c>
      <c r="AG71" s="1"/>
      <c r="AH71" s="25">
        <f t="shared" si="11"/>
        <v>18.851735848942926</v>
      </c>
      <c r="AI71" s="1">
        <f t="shared" si="19"/>
        <v>0.80710798049948729</v>
      </c>
      <c r="AJ71" s="1">
        <f t="shared" si="20"/>
        <v>18.851735848942802</v>
      </c>
      <c r="AK71" s="26">
        <f t="shared" si="21"/>
        <v>1.2434497875801753E-13</v>
      </c>
      <c r="AL71" s="1">
        <f t="shared" si="22"/>
        <v>0.65617862492774093</v>
      </c>
      <c r="AM71" s="1">
        <f t="shared" si="23"/>
        <v>4.7553327417801938E-3</v>
      </c>
      <c r="AN71" s="1">
        <f t="shared" si="24"/>
        <v>49.474481845481051</v>
      </c>
      <c r="AO71" s="1">
        <f t="shared" si="25"/>
        <v>7.0338099096777595</v>
      </c>
      <c r="AP71" s="1">
        <f t="shared" si="26"/>
        <v>0.37311205535866698</v>
      </c>
    </row>
    <row r="72" spans="1:42" x14ac:dyDescent="0.45">
      <c r="A72" s="16">
        <f t="shared" si="12"/>
        <v>62</v>
      </c>
      <c r="B72" s="17">
        <f t="shared" si="13"/>
        <v>87673.99997888181</v>
      </c>
      <c r="C72" s="18">
        <f t="shared" si="0"/>
        <v>812.00000144420483</v>
      </c>
      <c r="D72" s="19">
        <v>9.2615826999999998E-3</v>
      </c>
      <c r="E72" s="20">
        <f t="shared" si="1"/>
        <v>0.99073841730000001</v>
      </c>
      <c r="F72" s="21">
        <f t="shared" si="2"/>
        <v>8.8680794629452577E-3</v>
      </c>
      <c r="G72" s="1"/>
      <c r="H72" s="22">
        <f t="shared" si="3"/>
        <v>1777715.9993562405</v>
      </c>
      <c r="I72" s="19">
        <f t="shared" si="14"/>
        <v>19.276433147620072</v>
      </c>
      <c r="J72" s="23">
        <f t="shared" si="15"/>
        <v>19.776433147620072</v>
      </c>
      <c r="K72" s="1"/>
      <c r="L72" s="3">
        <f t="shared" si="4"/>
        <v>62</v>
      </c>
      <c r="M72" s="24">
        <f t="shared" si="5"/>
        <v>47597.631923508241</v>
      </c>
      <c r="N72" s="24">
        <f t="shared" si="6"/>
        <v>865385.37285915378</v>
      </c>
      <c r="O72" s="24">
        <f t="shared" si="7"/>
        <v>436.50754747800494</v>
      </c>
      <c r="P72" s="24">
        <f t="shared" si="8"/>
        <v>39113.461601359719</v>
      </c>
      <c r="Q72" s="1"/>
      <c r="R72" s="1">
        <f t="shared" si="27"/>
        <v>0.91819657536758048</v>
      </c>
      <c r="S72" s="1">
        <f t="shared" si="28"/>
        <v>0.79676856531552065</v>
      </c>
      <c r="T72" s="1">
        <f t="shared" si="29"/>
        <v>0.73159016803325139</v>
      </c>
      <c r="U72" s="1"/>
      <c r="V72" s="1"/>
      <c r="W72" s="1"/>
      <c r="X72" s="1"/>
      <c r="Y72" s="1"/>
      <c r="Z72" s="1"/>
      <c r="AA72" s="1"/>
      <c r="AB72" s="3">
        <f t="shared" si="16"/>
        <v>62</v>
      </c>
      <c r="AC72" s="24">
        <f t="shared" si="17"/>
        <v>25840.438046301915</v>
      </c>
      <c r="AD72" s="24">
        <f t="shared" si="9"/>
        <v>423794.48157705675</v>
      </c>
      <c r="AE72" s="24">
        <f t="shared" si="18"/>
        <v>234.65374219996875</v>
      </c>
      <c r="AF72" s="24">
        <f t="shared" si="10"/>
        <v>17571.476131640044</v>
      </c>
      <c r="AG72" s="1"/>
      <c r="AH72" s="25">
        <f t="shared" si="11"/>
        <v>18.181269485210336</v>
      </c>
      <c r="AI72" s="1">
        <f t="shared" si="19"/>
        <v>0.81361609895932596</v>
      </c>
      <c r="AJ72" s="1">
        <f t="shared" si="20"/>
        <v>18.181269485210226</v>
      </c>
      <c r="AK72" s="26">
        <f t="shared" si="21"/>
        <v>1.1013412404281553E-13</v>
      </c>
      <c r="AL72" s="1">
        <f t="shared" si="22"/>
        <v>0.66660048886283818</v>
      </c>
      <c r="AM72" s="1">
        <f t="shared" si="23"/>
        <v>4.6293323770464356E-3</v>
      </c>
      <c r="AN72" s="1">
        <f t="shared" si="24"/>
        <v>48.163574050791034</v>
      </c>
      <c r="AO72" s="1">
        <f t="shared" si="25"/>
        <v>6.9399981304601974</v>
      </c>
      <c r="AP72" s="1">
        <f t="shared" si="26"/>
        <v>0.38171141658208085</v>
      </c>
    </row>
    <row r="73" spans="1:42" x14ac:dyDescent="0.45">
      <c r="A73" s="16">
        <f t="shared" si="12"/>
        <v>63</v>
      </c>
      <c r="B73" s="17">
        <f t="shared" si="13"/>
        <v>86861.999977437605</v>
      </c>
      <c r="C73" s="18">
        <f t="shared" si="0"/>
        <v>885.00000142012141</v>
      </c>
      <c r="D73" s="19">
        <v>1.0188575E-2</v>
      </c>
      <c r="E73" s="20">
        <f t="shared" si="1"/>
        <v>0.98981142499999997</v>
      </c>
      <c r="F73" s="21">
        <f t="shared" si="2"/>
        <v>9.7683682352761956E-3</v>
      </c>
      <c r="G73" s="1"/>
      <c r="H73" s="22">
        <f t="shared" si="3"/>
        <v>1690041.9993773587</v>
      </c>
      <c r="I73" s="19">
        <f t="shared" si="14"/>
        <v>18.456632357260332</v>
      </c>
      <c r="J73" s="23">
        <f t="shared" si="15"/>
        <v>18.956632357260332</v>
      </c>
      <c r="K73" s="1"/>
      <c r="L73" s="3">
        <f t="shared" si="4"/>
        <v>63</v>
      </c>
      <c r="M73" s="24">
        <f t="shared" si="5"/>
        <v>46694.480925799777</v>
      </c>
      <c r="N73" s="24">
        <f t="shared" si="6"/>
        <v>817787.74093564553</v>
      </c>
      <c r="O73" s="24">
        <f t="shared" si="7"/>
        <v>471.08600314565314</v>
      </c>
      <c r="P73" s="24">
        <f t="shared" si="8"/>
        <v>38676.954053881716</v>
      </c>
      <c r="Q73" s="1"/>
      <c r="R73" s="1">
        <f t="shared" si="27"/>
        <v>0.90969262184995692</v>
      </c>
      <c r="S73" s="1">
        <f t="shared" si="28"/>
        <v>0.78895710879281966</v>
      </c>
      <c r="T73" s="1">
        <f t="shared" si="29"/>
        <v>0.71770846082490181</v>
      </c>
      <c r="U73" s="1"/>
      <c r="V73" s="1"/>
      <c r="W73" s="1"/>
      <c r="X73" s="1"/>
      <c r="Y73" s="1"/>
      <c r="Z73" s="1"/>
      <c r="AA73" s="1"/>
      <c r="AB73" s="3">
        <f t="shared" si="16"/>
        <v>63</v>
      </c>
      <c r="AC73" s="24">
        <f t="shared" si="17"/>
        <v>25101.59275052647</v>
      </c>
      <c r="AD73" s="24">
        <f t="shared" si="9"/>
        <v>397954.04353075486</v>
      </c>
      <c r="AE73" s="24">
        <f t="shared" si="18"/>
        <v>250.75934689676566</v>
      </c>
      <c r="AF73" s="24">
        <f t="shared" si="10"/>
        <v>17336.822389440076</v>
      </c>
      <c r="AG73" s="1"/>
      <c r="AH73" s="25">
        <f t="shared" si="11"/>
        <v>17.513584576197719</v>
      </c>
      <c r="AI73" s="1">
        <f t="shared" si="19"/>
        <v>0.82009721824696524</v>
      </c>
      <c r="AJ73" s="1">
        <f t="shared" si="20"/>
        <v>17.51358457619763</v>
      </c>
      <c r="AK73" s="26">
        <f t="shared" si="21"/>
        <v>8.8817841970012523E-14</v>
      </c>
      <c r="AL73" s="1">
        <f t="shared" si="22"/>
        <v>0.67705737506561658</v>
      </c>
      <c r="AM73" s="1">
        <f t="shared" si="23"/>
        <v>4.4979276892060938E-3</v>
      </c>
      <c r="AN73" s="1">
        <f t="shared" si="24"/>
        <v>46.796439678500121</v>
      </c>
      <c r="AO73" s="1">
        <f t="shared" si="25"/>
        <v>6.8407923282687157</v>
      </c>
      <c r="AP73" s="1">
        <f t="shared" si="26"/>
        <v>0.39059921162946093</v>
      </c>
    </row>
    <row r="74" spans="1:42" x14ac:dyDescent="0.45">
      <c r="A74" s="16">
        <f t="shared" si="12"/>
        <v>64</v>
      </c>
      <c r="B74" s="17">
        <f t="shared" si="13"/>
        <v>85976.999976017483</v>
      </c>
      <c r="C74" s="18">
        <f t="shared" ref="C74:C117" si="30">+B74-B75</f>
        <v>961.9999972369551</v>
      </c>
      <c r="D74" s="19">
        <v>1.11890389E-2</v>
      </c>
      <c r="E74" s="20">
        <f t="shared" ref="E74:E116" si="31">1-D74</f>
        <v>0.9888109611</v>
      </c>
      <c r="F74" s="21">
        <f t="shared" ref="F74:F116" si="32">0.5*(C73+C74)/B74</f>
        <v>1.07412447466897E-2</v>
      </c>
      <c r="G74" s="1"/>
      <c r="H74" s="22">
        <f t="shared" ref="H74:H128" si="33">+H75+B74</f>
        <v>1603179.9993999212</v>
      </c>
      <c r="I74" s="19">
        <f t="shared" si="14"/>
        <v>17.646614790549961</v>
      </c>
      <c r="J74" s="23">
        <f t="shared" si="15"/>
        <v>18.146614790549961</v>
      </c>
      <c r="K74" s="1"/>
      <c r="L74" s="3">
        <f t="shared" ref="L74:L137" si="34">A74</f>
        <v>64</v>
      </c>
      <c r="M74" s="24">
        <f t="shared" ref="M74:M137" si="35">B74*$P$4^L74</f>
        <v>45765.605893969805</v>
      </c>
      <c r="N74" s="24">
        <f t="shared" ref="N74:N137" si="36">N75+M74</f>
        <v>771093.26000984572</v>
      </c>
      <c r="O74" s="24">
        <f t="shared" ref="O74:O137" si="37">C74*$P$4^(L74+1)</f>
        <v>507.05281968234561</v>
      </c>
      <c r="P74" s="24">
        <f t="shared" ref="P74:P137" si="38">P75+O74</f>
        <v>38205.868050736062</v>
      </c>
      <c r="Q74" s="1"/>
      <c r="R74" s="1">
        <f t="shared" si="27"/>
        <v>0.900424150345292</v>
      </c>
      <c r="S74" s="1">
        <f t="shared" si="28"/>
        <v>0.78122223517720379</v>
      </c>
      <c r="T74" s="1">
        <f t="shared" si="29"/>
        <v>0.70343136734028366</v>
      </c>
      <c r="U74" s="1"/>
      <c r="V74" s="1"/>
      <c r="W74" s="1"/>
      <c r="X74" s="1"/>
      <c r="Y74" s="1"/>
      <c r="Z74" s="1"/>
      <c r="AA74" s="1"/>
      <c r="AB74" s="3">
        <f t="shared" si="16"/>
        <v>64</v>
      </c>
      <c r="AC74" s="24">
        <f t="shared" si="17"/>
        <v>24361.057997213247</v>
      </c>
      <c r="AD74" s="24">
        <f t="shared" ref="AD74:AD137" si="39">AD75+AC74</f>
        <v>372852.45078022842</v>
      </c>
      <c r="AE74" s="24">
        <f t="shared" si="18"/>
        <v>267.25838117075278</v>
      </c>
      <c r="AF74" s="24">
        <f t="shared" ref="AF74:AF137" si="40">AF75+AE74</f>
        <v>17086.063042543312</v>
      </c>
      <c r="AG74" s="1"/>
      <c r="AH74" s="25">
        <f t="shared" ref="AH74:AH120" si="41">N74/M74</f>
        <v>16.848750168332131</v>
      </c>
      <c r="AI74" s="1">
        <f t="shared" si="19"/>
        <v>0.82655066813888523</v>
      </c>
      <c r="AJ74" s="1">
        <f t="shared" si="20"/>
        <v>16.848750168332032</v>
      </c>
      <c r="AK74" s="26">
        <f t="shared" si="21"/>
        <v>9.9475983006414026E-14</v>
      </c>
      <c r="AL74" s="1">
        <f t="shared" si="22"/>
        <v>0.68754813942969262</v>
      </c>
      <c r="AM74" s="1">
        <f t="shared" si="23"/>
        <v>4.3621324288550811E-3</v>
      </c>
      <c r="AN74" s="1">
        <f t="shared" si="24"/>
        <v>45.383625789808185</v>
      </c>
      <c r="AO74" s="1">
        <f t="shared" si="25"/>
        <v>6.7367370283994452</v>
      </c>
      <c r="AP74" s="1">
        <f t="shared" si="26"/>
        <v>0.39983600926443785</v>
      </c>
    </row>
    <row r="75" spans="1:42" x14ac:dyDescent="0.45">
      <c r="A75" s="16">
        <f t="shared" ref="A75:A130" si="42">+A74+1</f>
        <v>65</v>
      </c>
      <c r="B75" s="17">
        <f t="shared" ref="B75:B117" si="43">+B74*(1-D74)</f>
        <v>85014.999978780528</v>
      </c>
      <c r="C75" s="18">
        <f t="shared" si="30"/>
        <v>1048.9999997231789</v>
      </c>
      <c r="D75" s="19">
        <v>1.2338999E-2</v>
      </c>
      <c r="E75" s="20">
        <f t="shared" si="31"/>
        <v>0.98766100099999998</v>
      </c>
      <c r="F75" s="21">
        <f t="shared" si="32"/>
        <v>1.1827324574851927E-2</v>
      </c>
      <c r="G75" s="1"/>
      <c r="H75" s="22">
        <f t="shared" si="33"/>
        <v>1517202.9994239036</v>
      </c>
      <c r="I75" s="19">
        <f t="shared" ref="I75:I138" si="44">+H76/B75</f>
        <v>16.846297709846411</v>
      </c>
      <c r="J75" s="23">
        <f t="shared" ref="J75:J138" si="45">I75+0.5</f>
        <v>17.346297709846411</v>
      </c>
      <c r="K75" s="1"/>
      <c r="L75" s="3">
        <f t="shared" si="34"/>
        <v>65</v>
      </c>
      <c r="M75" s="24">
        <f t="shared" si="35"/>
        <v>44809.870663562266</v>
      </c>
      <c r="N75" s="24">
        <f t="shared" si="36"/>
        <v>725327.65411587595</v>
      </c>
      <c r="O75" s="24">
        <f t="shared" si="37"/>
        <v>547.48827333422116</v>
      </c>
      <c r="P75" s="24">
        <f t="shared" si="38"/>
        <v>37698.815231053719</v>
      </c>
      <c r="Q75" s="1"/>
      <c r="R75" s="1">
        <f t="shared" si="27"/>
        <v>0.89034926950057913</v>
      </c>
      <c r="S75" s="1">
        <f t="shared" si="28"/>
        <v>0.77356319365585868</v>
      </c>
      <c r="T75" s="1">
        <f t="shared" si="29"/>
        <v>0.68874142438402886</v>
      </c>
      <c r="U75" s="1"/>
      <c r="V75" s="1"/>
      <c r="W75" s="1"/>
      <c r="X75" s="1"/>
      <c r="Y75" s="1"/>
      <c r="Z75" s="1"/>
      <c r="AA75" s="1"/>
      <c r="AB75" s="3">
        <f t="shared" ref="AB75:AB138" si="46">L75</f>
        <v>65</v>
      </c>
      <c r="AC75" s="24">
        <f t="shared" ref="AC75:AC138" si="47">B75*$AF$4^AB75</f>
        <v>23618.473321018053</v>
      </c>
      <c r="AD75" s="24">
        <f t="shared" si="39"/>
        <v>348491.39278301515</v>
      </c>
      <c r="AE75" s="24">
        <f t="shared" ref="AE75:AE138" si="48">C75*$AF$4^(AB75+1)</f>
        <v>285.74204911114043</v>
      </c>
      <c r="AF75" s="24">
        <f t="shared" si="40"/>
        <v>16818.80466137256</v>
      </c>
      <c r="AG75" s="1"/>
      <c r="AH75" s="25">
        <f t="shared" si="41"/>
        <v>16.186783031839582</v>
      </c>
      <c r="AI75" s="1">
        <f t="shared" ref="AI75:AI120" si="49">P75/M75/(1+$AC$5)</f>
        <v>0.83297628584896632</v>
      </c>
      <c r="AJ75" s="1">
        <f t="shared" ref="AJ75:AJ120" si="50">(1-AI75*(1+$AC$5))/$P$6</f>
        <v>16.186783031839479</v>
      </c>
      <c r="AK75" s="26">
        <f t="shared" ref="AK75:AK120" si="51">ABS(AH75-AJ75)</f>
        <v>1.0302869668521453E-13</v>
      </c>
      <c r="AL75" s="1">
        <f t="shared" ref="AL75:AL120" si="52">AF75/AC75/(1+$AC$5)^2</f>
        <v>0.69807254436797583</v>
      </c>
      <c r="AM75" s="1">
        <f t="shared" ref="AM75:AM120" si="53">(AL75-AI75^2)</f>
        <v>4.2230515812369251E-3</v>
      </c>
      <c r="AN75" s="1">
        <f t="shared" ref="AN75:AN120" si="54">(AL75-AI75^2)/$P$6^2</f>
        <v>43.93662865118889</v>
      </c>
      <c r="AO75" s="1">
        <f t="shared" ref="AO75:AO120" si="55">AN75^0.5</f>
        <v>6.6284710643698892</v>
      </c>
      <c r="AP75" s="1">
        <f t="shared" ref="AP75:AP120" si="56">+AO75/AH75</f>
        <v>0.40949897526467199</v>
      </c>
    </row>
    <row r="76" spans="1:42" x14ac:dyDescent="0.45">
      <c r="A76" s="16">
        <f t="shared" si="42"/>
        <v>66</v>
      </c>
      <c r="B76" s="17">
        <f t="shared" si="43"/>
        <v>83965.999979057349</v>
      </c>
      <c r="C76" s="18">
        <f t="shared" si="30"/>
        <v>1148.0000036898709</v>
      </c>
      <c r="D76" s="19">
        <v>1.36722007E-2</v>
      </c>
      <c r="E76" s="20">
        <f t="shared" si="31"/>
        <v>0.98632779930000003</v>
      </c>
      <c r="F76" s="21">
        <f t="shared" si="32"/>
        <v>1.3082676344955231E-2</v>
      </c>
      <c r="G76" s="1"/>
      <c r="H76" s="22">
        <f t="shared" si="33"/>
        <v>1432187.9994451231</v>
      </c>
      <c r="I76" s="19">
        <f t="shared" si="44"/>
        <v>16.056761067602803</v>
      </c>
      <c r="J76" s="23">
        <f t="shared" si="45"/>
        <v>16.556761067602803</v>
      </c>
      <c r="K76" s="1"/>
      <c r="L76" s="3">
        <f t="shared" si="34"/>
        <v>66</v>
      </c>
      <c r="M76" s="24">
        <f t="shared" si="35"/>
        <v>43823.069932742146</v>
      </c>
      <c r="N76" s="24">
        <f t="shared" si="36"/>
        <v>680517.78345231374</v>
      </c>
      <c r="O76" s="24">
        <f t="shared" si="37"/>
        <v>593.28371125950355</v>
      </c>
      <c r="P76" s="24">
        <f t="shared" si="38"/>
        <v>37151.326957719495</v>
      </c>
      <c r="Q76" s="1"/>
      <c r="R76" s="1">
        <f t="shared" si="27"/>
        <v>0.87936325075456068</v>
      </c>
      <c r="S76" s="1">
        <f t="shared" si="28"/>
        <v>0.76597924077687951</v>
      </c>
      <c r="T76" s="1">
        <f t="shared" si="29"/>
        <v>0.67357399518006711</v>
      </c>
      <c r="U76" s="1"/>
      <c r="V76" s="1"/>
      <c r="W76" s="1"/>
      <c r="X76" s="1"/>
      <c r="Y76" s="1"/>
      <c r="Z76" s="1"/>
      <c r="AA76" s="1"/>
      <c r="AB76" s="3">
        <f t="shared" si="46"/>
        <v>66</v>
      </c>
      <c r="AC76" s="24">
        <f t="shared" si="47"/>
        <v>22871.894085808621</v>
      </c>
      <c r="AD76" s="24">
        <f t="shared" si="39"/>
        <v>324872.91946199711</v>
      </c>
      <c r="AE76" s="24">
        <f t="shared" si="48"/>
        <v>306.60763145863007</v>
      </c>
      <c r="AF76" s="24">
        <f t="shared" si="40"/>
        <v>16533.062612261419</v>
      </c>
      <c r="AG76" s="1"/>
      <c r="AH76" s="25">
        <f t="shared" si="41"/>
        <v>15.528756531588147</v>
      </c>
      <c r="AI76" s="1">
        <f t="shared" si="49"/>
        <v>0.83936365238217758</v>
      </c>
      <c r="AJ76" s="1">
        <f t="shared" si="50"/>
        <v>15.528756531588055</v>
      </c>
      <c r="AK76" s="26">
        <f t="shared" si="51"/>
        <v>9.2370555648813024E-14</v>
      </c>
      <c r="AL76" s="1">
        <f t="shared" si="52"/>
        <v>0.70861188420128773</v>
      </c>
      <c r="AM76" s="1">
        <f t="shared" si="53"/>
        <v>4.0805432609386516E-3</v>
      </c>
      <c r="AN76" s="1">
        <f t="shared" si="54"/>
        <v>42.453972086805656</v>
      </c>
      <c r="AO76" s="1">
        <f t="shared" si="55"/>
        <v>6.5156712690869893</v>
      </c>
      <c r="AP76" s="1">
        <f t="shared" si="56"/>
        <v>0.41958744448295004</v>
      </c>
    </row>
    <row r="77" spans="1:42" x14ac:dyDescent="0.45">
      <c r="A77" s="16">
        <f t="shared" si="42"/>
        <v>67</v>
      </c>
      <c r="B77" s="17">
        <f t="shared" si="43"/>
        <v>82817.999975367478</v>
      </c>
      <c r="C77" s="18">
        <f t="shared" si="30"/>
        <v>1257.0000008243223</v>
      </c>
      <c r="D77" s="19">
        <v>1.51778599E-2</v>
      </c>
      <c r="E77" s="20">
        <f t="shared" si="31"/>
        <v>0.98482214010000002</v>
      </c>
      <c r="F77" s="21">
        <f t="shared" si="32"/>
        <v>1.4519790415305316E-2</v>
      </c>
      <c r="G77" s="1"/>
      <c r="H77" s="22">
        <f t="shared" si="33"/>
        <v>1348221.9994660658</v>
      </c>
      <c r="I77" s="19">
        <f t="shared" si="44"/>
        <v>15.279335408571407</v>
      </c>
      <c r="J77" s="23">
        <f t="shared" si="45"/>
        <v>15.779335408571407</v>
      </c>
      <c r="K77" s="1"/>
      <c r="L77" s="3">
        <f t="shared" si="34"/>
        <v>67</v>
      </c>
      <c r="M77" s="24">
        <f t="shared" si="35"/>
        <v>42800.148280965564</v>
      </c>
      <c r="N77" s="24">
        <f t="shared" si="36"/>
        <v>636694.71351957158</v>
      </c>
      <c r="O77" s="24">
        <f t="shared" si="37"/>
        <v>643.24588318705275</v>
      </c>
      <c r="P77" s="24">
        <f t="shared" si="38"/>
        <v>36558.043246459994</v>
      </c>
      <c r="Q77" s="1"/>
      <c r="R77" s="1">
        <f t="shared" si="27"/>
        <v>0.86734041990203981</v>
      </c>
      <c r="S77" s="1">
        <f t="shared" si="28"/>
        <v>0.7584696403771064</v>
      </c>
      <c r="T77" s="1">
        <f t="shared" si="29"/>
        <v>0.65785137636762858</v>
      </c>
      <c r="U77" s="1"/>
      <c r="V77" s="1"/>
      <c r="W77" s="1"/>
      <c r="X77" s="1"/>
      <c r="Y77" s="1"/>
      <c r="Z77" s="1"/>
      <c r="AA77" s="1"/>
      <c r="AB77" s="3">
        <f t="shared" si="46"/>
        <v>67</v>
      </c>
      <c r="AC77" s="24">
        <f t="shared" si="47"/>
        <v>22119.016317919853</v>
      </c>
      <c r="AD77" s="24">
        <f t="shared" si="39"/>
        <v>302001.02537618851</v>
      </c>
      <c r="AE77" s="24">
        <f t="shared" si="48"/>
        <v>329.16886711674647</v>
      </c>
      <c r="AF77" s="24">
        <f t="shared" si="40"/>
        <v>16226.454980802788</v>
      </c>
      <c r="AG77" s="1"/>
      <c r="AH77" s="25">
        <f t="shared" si="41"/>
        <v>14.875993170395807</v>
      </c>
      <c r="AI77" s="1">
        <f t="shared" si="49"/>
        <v>0.84569993039802238</v>
      </c>
      <c r="AJ77" s="1">
        <f t="shared" si="50"/>
        <v>14.875993170395718</v>
      </c>
      <c r="AK77" s="26">
        <f t="shared" si="51"/>
        <v>8.8817841970012523E-14</v>
      </c>
      <c r="AL77" s="1">
        <f t="shared" si="52"/>
        <v>0.7191427270060512</v>
      </c>
      <c r="AM77" s="1">
        <f t="shared" si="53"/>
        <v>3.9343547308312576E-3</v>
      </c>
      <c r="AN77" s="1">
        <f t="shared" si="54"/>
        <v>40.933026619568331</v>
      </c>
      <c r="AO77" s="1">
        <f t="shared" si="55"/>
        <v>6.3978923576103037</v>
      </c>
      <c r="AP77" s="1">
        <f t="shared" si="56"/>
        <v>0.43008169500524679</v>
      </c>
    </row>
    <row r="78" spans="1:42" x14ac:dyDescent="0.45">
      <c r="A78" s="16">
        <f t="shared" si="42"/>
        <v>68</v>
      </c>
      <c r="B78" s="17">
        <f t="shared" si="43"/>
        <v>81560.999974543156</v>
      </c>
      <c r="C78" s="18">
        <f t="shared" si="30"/>
        <v>1379.9999996046681</v>
      </c>
      <c r="D78" s="19">
        <v>1.6919851400000002E-2</v>
      </c>
      <c r="E78" s="20">
        <f t="shared" si="31"/>
        <v>0.98308014860000004</v>
      </c>
      <c r="F78" s="21">
        <f t="shared" si="32"/>
        <v>1.6165814551391301E-2</v>
      </c>
      <c r="G78" s="1"/>
      <c r="H78" s="22">
        <f t="shared" si="33"/>
        <v>1265403.9994906983</v>
      </c>
      <c r="I78" s="19">
        <f t="shared" si="44"/>
        <v>14.514817129334567</v>
      </c>
      <c r="J78" s="23">
        <f t="shared" si="45"/>
        <v>15.014817129334567</v>
      </c>
      <c r="K78" s="1"/>
      <c r="L78" s="3">
        <f t="shared" si="34"/>
        <v>68</v>
      </c>
      <c r="M78" s="24">
        <f t="shared" si="35"/>
        <v>41737.293100906303</v>
      </c>
      <c r="N78" s="24">
        <f t="shared" si="36"/>
        <v>593894.56523860607</v>
      </c>
      <c r="O78" s="24">
        <f t="shared" si="37"/>
        <v>699.26537752611046</v>
      </c>
      <c r="P78" s="24">
        <f t="shared" si="38"/>
        <v>35914.797363272941</v>
      </c>
      <c r="Q78" s="1"/>
      <c r="R78" s="1">
        <f t="shared" si="27"/>
        <v>0.85417604852315954</v>
      </c>
      <c r="S78" s="1">
        <f t="shared" si="28"/>
        <v>0.75103366351066436</v>
      </c>
      <c r="T78" s="1">
        <f t="shared" si="29"/>
        <v>0.64151496700541155</v>
      </c>
      <c r="U78" s="1"/>
      <c r="V78" s="1"/>
      <c r="W78" s="1"/>
      <c r="X78" s="1"/>
      <c r="Y78" s="1"/>
      <c r="Z78" s="1"/>
      <c r="AA78" s="1"/>
      <c r="AB78" s="3">
        <f t="shared" si="46"/>
        <v>68</v>
      </c>
      <c r="AC78" s="24">
        <f t="shared" si="47"/>
        <v>21358.267259286604</v>
      </c>
      <c r="AD78" s="24">
        <f t="shared" si="39"/>
        <v>279882.00905826868</v>
      </c>
      <c r="AE78" s="24">
        <f t="shared" si="48"/>
        <v>354.32758575855854</v>
      </c>
      <c r="AF78" s="24">
        <f t="shared" si="40"/>
        <v>15897.286113686041</v>
      </c>
      <c r="AG78" s="1"/>
      <c r="AH78" s="25">
        <f t="shared" si="41"/>
        <v>14.229350327122914</v>
      </c>
      <c r="AI78" s="1">
        <f t="shared" si="49"/>
        <v>0.85197679744590527</v>
      </c>
      <c r="AJ78" s="1">
        <f t="shared" si="50"/>
        <v>14.229350327122825</v>
      </c>
      <c r="AK78" s="26">
        <f t="shared" si="51"/>
        <v>8.8817841970012523E-14</v>
      </c>
      <c r="AL78" s="1">
        <f t="shared" si="52"/>
        <v>0.72964939451078192</v>
      </c>
      <c r="AM78" s="1">
        <f t="shared" si="53"/>
        <v>3.7849311246008766E-3</v>
      </c>
      <c r="AN78" s="1">
        <f t="shared" si="54"/>
        <v>39.378423420347453</v>
      </c>
      <c r="AO78" s="1">
        <f t="shared" si="55"/>
        <v>6.2752229777393129</v>
      </c>
      <c r="AP78" s="1">
        <f t="shared" si="56"/>
        <v>0.44100558588243882</v>
      </c>
    </row>
    <row r="79" spans="1:42" x14ac:dyDescent="0.45">
      <c r="A79" s="16">
        <f t="shared" si="42"/>
        <v>69</v>
      </c>
      <c r="B79" s="17">
        <f t="shared" si="43"/>
        <v>80180.999974938488</v>
      </c>
      <c r="C79" s="18">
        <f t="shared" si="30"/>
        <v>1521.9999991353834</v>
      </c>
      <c r="D79" s="19">
        <v>1.89820531E-2</v>
      </c>
      <c r="E79" s="20">
        <f t="shared" si="31"/>
        <v>0.98101794689999999</v>
      </c>
      <c r="F79" s="21">
        <f t="shared" si="32"/>
        <v>1.8096556538625769E-2</v>
      </c>
      <c r="G79" s="1"/>
      <c r="H79" s="22">
        <f t="shared" si="33"/>
        <v>1183842.9995161551</v>
      </c>
      <c r="I79" s="19">
        <f t="shared" si="44"/>
        <v>13.76463251750638</v>
      </c>
      <c r="J79" s="23">
        <f t="shared" si="45"/>
        <v>14.26463251750638</v>
      </c>
      <c r="K79" s="1"/>
      <c r="L79" s="3">
        <f t="shared" si="34"/>
        <v>69</v>
      </c>
      <c r="M79" s="24">
        <f t="shared" si="35"/>
        <v>40628.838575332091</v>
      </c>
      <c r="N79" s="24">
        <f t="shared" si="36"/>
        <v>552157.27213769977</v>
      </c>
      <c r="O79" s="24">
        <f t="shared" si="37"/>
        <v>763.65780288290807</v>
      </c>
      <c r="P79" s="24">
        <f t="shared" si="38"/>
        <v>35215.531985746828</v>
      </c>
      <c r="Q79" s="1"/>
      <c r="R79" s="1">
        <f t="shared" si="27"/>
        <v>0.83972351671270862</v>
      </c>
      <c r="S79" s="1">
        <f t="shared" si="28"/>
        <v>0.74367058837820688</v>
      </c>
      <c r="T79" s="1">
        <f t="shared" si="29"/>
        <v>0.62447768174875706</v>
      </c>
      <c r="U79" s="1"/>
      <c r="V79" s="1"/>
      <c r="W79" s="1"/>
      <c r="X79" s="1"/>
      <c r="Y79" s="1"/>
      <c r="Z79" s="1"/>
      <c r="AA79" s="1"/>
      <c r="AB79" s="3">
        <f t="shared" si="46"/>
        <v>69</v>
      </c>
      <c r="AC79" s="24">
        <f t="shared" si="47"/>
        <v>20587.203009395489</v>
      </c>
      <c r="AD79" s="24">
        <f t="shared" si="39"/>
        <v>258523.74179898208</v>
      </c>
      <c r="AE79" s="24">
        <f t="shared" si="48"/>
        <v>383.16244430699015</v>
      </c>
      <c r="AF79" s="24">
        <f t="shared" si="40"/>
        <v>15542.958527927483</v>
      </c>
      <c r="AG79" s="1"/>
      <c r="AH79" s="25">
        <f t="shared" si="41"/>
        <v>13.590279503410258</v>
      </c>
      <c r="AI79" s="1">
        <f t="shared" si="49"/>
        <v>0.85818016401271424</v>
      </c>
      <c r="AJ79" s="1">
        <f t="shared" si="50"/>
        <v>13.590279503410169</v>
      </c>
      <c r="AK79" s="26">
        <f t="shared" si="51"/>
        <v>8.8817841970012523E-14</v>
      </c>
      <c r="AL79" s="1">
        <f t="shared" si="52"/>
        <v>0.7401054351127383</v>
      </c>
      <c r="AM79" s="1">
        <f t="shared" si="53"/>
        <v>3.6322412078492183E-3</v>
      </c>
      <c r="AN79" s="1">
        <f t="shared" si="54"/>
        <v>37.789837526463202</v>
      </c>
      <c r="AO79" s="1">
        <f t="shared" si="55"/>
        <v>6.1473439407977821</v>
      </c>
      <c r="AP79" s="1">
        <f t="shared" si="56"/>
        <v>0.45233388608786207</v>
      </c>
    </row>
    <row r="80" spans="1:42" x14ac:dyDescent="0.45">
      <c r="A80" s="16">
        <f t="shared" si="42"/>
        <v>70</v>
      </c>
      <c r="B80" s="17">
        <f t="shared" si="43"/>
        <v>78658.999975803104</v>
      </c>
      <c r="C80" s="18">
        <f t="shared" si="30"/>
        <v>1676.9999999137362</v>
      </c>
      <c r="D80" s="19">
        <v>2.1319874400000001E-2</v>
      </c>
      <c r="E80" s="20">
        <f t="shared" si="31"/>
        <v>0.97868012559999995</v>
      </c>
      <c r="F80" s="21">
        <f t="shared" si="32"/>
        <v>2.0334608881584997E-2</v>
      </c>
      <c r="G80" s="1"/>
      <c r="H80" s="22">
        <f t="shared" si="33"/>
        <v>1103661.9995412165</v>
      </c>
      <c r="I80" s="19">
        <f t="shared" si="44"/>
        <v>13.030969118355465</v>
      </c>
      <c r="J80" s="23">
        <f t="shared" si="45"/>
        <v>13.530969118355465</v>
      </c>
      <c r="K80" s="1"/>
      <c r="L80" s="3">
        <f t="shared" si="34"/>
        <v>70</v>
      </c>
      <c r="M80" s="24">
        <f t="shared" si="35"/>
        <v>39466.858825632204</v>
      </c>
      <c r="N80" s="24">
        <f t="shared" si="36"/>
        <v>511528.43356236769</v>
      </c>
      <c r="O80" s="24">
        <f t="shared" si="37"/>
        <v>833.17917436888797</v>
      </c>
      <c r="P80" s="24">
        <f t="shared" si="38"/>
        <v>34451.874182863918</v>
      </c>
      <c r="Q80" s="1"/>
      <c r="R80" s="1">
        <f t="shared" si="27"/>
        <v>0.8237838403291492</v>
      </c>
      <c r="S80" s="1">
        <f t="shared" si="28"/>
        <v>0.73637970025685173</v>
      </c>
      <c r="T80" s="1">
        <f t="shared" si="29"/>
        <v>0.60661769741801708</v>
      </c>
      <c r="U80" s="1"/>
      <c r="V80" s="1"/>
      <c r="W80" s="1"/>
      <c r="X80" s="1"/>
      <c r="Y80" s="1"/>
      <c r="Z80" s="1"/>
      <c r="AA80" s="1"/>
      <c r="AB80" s="3">
        <f t="shared" si="46"/>
        <v>70</v>
      </c>
      <c r="AC80" s="24">
        <f t="shared" si="47"/>
        <v>19802.348695528013</v>
      </c>
      <c r="AD80" s="24">
        <f t="shared" si="39"/>
        <v>237936.5387895866</v>
      </c>
      <c r="AE80" s="24">
        <f t="shared" si="48"/>
        <v>413.9460564327552</v>
      </c>
      <c r="AF80" s="24">
        <f t="shared" si="40"/>
        <v>15159.796083620493</v>
      </c>
      <c r="AG80" s="1"/>
      <c r="AH80" s="25">
        <f t="shared" si="41"/>
        <v>12.960961393516063</v>
      </c>
      <c r="AI80" s="1">
        <f t="shared" si="49"/>
        <v>0.86428886241976322</v>
      </c>
      <c r="AJ80" s="1">
        <f t="shared" si="50"/>
        <v>12.960961393515985</v>
      </c>
      <c r="AK80" s="26">
        <f t="shared" si="51"/>
        <v>7.815970093361102E-14</v>
      </c>
      <c r="AL80" s="1">
        <f t="shared" si="52"/>
        <v>0.75047098902686116</v>
      </c>
      <c r="AM80" s="1">
        <f t="shared" si="53"/>
        <v>3.475751324012788E-3</v>
      </c>
      <c r="AN80" s="1">
        <f t="shared" si="54"/>
        <v>36.161716775028985</v>
      </c>
      <c r="AO80" s="1">
        <f t="shared" si="55"/>
        <v>6.0134612973751631</v>
      </c>
      <c r="AP80" s="1">
        <f t="shared" si="56"/>
        <v>0.46396722548556446</v>
      </c>
    </row>
    <row r="81" spans="1:42" x14ac:dyDescent="0.45">
      <c r="A81" s="16">
        <f t="shared" si="42"/>
        <v>71</v>
      </c>
      <c r="B81" s="17">
        <f t="shared" si="43"/>
        <v>76981.999975889368</v>
      </c>
      <c r="C81" s="18">
        <f t="shared" si="30"/>
        <v>1843.000003015768</v>
      </c>
      <c r="D81" s="19">
        <v>2.3940661500000002E-2</v>
      </c>
      <c r="E81" s="20">
        <f t="shared" si="31"/>
        <v>0.97605933850000004</v>
      </c>
      <c r="F81" s="21">
        <f t="shared" si="32"/>
        <v>2.2862487360889312E-2</v>
      </c>
      <c r="G81" s="1"/>
      <c r="H81" s="22">
        <f t="shared" si="33"/>
        <v>1025002.9995654135</v>
      </c>
      <c r="I81" s="19">
        <f t="shared" si="44"/>
        <v>12.314839831213046</v>
      </c>
      <c r="J81" s="23">
        <f t="shared" si="45"/>
        <v>12.814839831213046</v>
      </c>
      <c r="K81" s="1"/>
      <c r="L81" s="3">
        <f t="shared" si="34"/>
        <v>71</v>
      </c>
      <c r="M81" s="24">
        <f t="shared" si="35"/>
        <v>38246.749662776725</v>
      </c>
      <c r="N81" s="24">
        <f t="shared" si="36"/>
        <v>472061.57473673549</v>
      </c>
      <c r="O81" s="24">
        <f t="shared" si="37"/>
        <v>906.67550198361846</v>
      </c>
      <c r="P81" s="24">
        <f t="shared" si="38"/>
        <v>33618.695008495029</v>
      </c>
      <c r="Q81" s="1"/>
      <c r="R81" s="1">
        <f t="shared" si="27"/>
        <v>0.80622087232058193</v>
      </c>
      <c r="S81" s="1">
        <f t="shared" si="28"/>
        <v>0.72916029143080408</v>
      </c>
      <c r="T81" s="1">
        <f t="shared" si="29"/>
        <v>0.58786424621887257</v>
      </c>
      <c r="U81" s="1"/>
      <c r="V81" s="1"/>
      <c r="W81" s="1"/>
      <c r="X81" s="1"/>
      <c r="Y81" s="1"/>
      <c r="Z81" s="1"/>
      <c r="AA81" s="1"/>
      <c r="AB81" s="3">
        <f t="shared" si="46"/>
        <v>71</v>
      </c>
      <c r="AC81" s="24">
        <f t="shared" si="47"/>
        <v>19002.024632060253</v>
      </c>
      <c r="AD81" s="24">
        <f t="shared" si="39"/>
        <v>218134.19009405858</v>
      </c>
      <c r="AE81" s="24">
        <f t="shared" si="48"/>
        <v>446.04474473797018</v>
      </c>
      <c r="AF81" s="24">
        <f t="shared" si="40"/>
        <v>14745.850027187738</v>
      </c>
      <c r="AG81" s="1"/>
      <c r="AH81" s="25">
        <f t="shared" si="41"/>
        <v>12.342527898420734</v>
      </c>
      <c r="AI81" s="1">
        <f t="shared" si="49"/>
        <v>0.87029190547058177</v>
      </c>
      <c r="AJ81" s="1">
        <f t="shared" si="50"/>
        <v>12.342527898420659</v>
      </c>
      <c r="AK81" s="26">
        <f t="shared" si="51"/>
        <v>7.460698725481052E-14</v>
      </c>
      <c r="AL81" s="1">
        <f t="shared" si="52"/>
        <v>0.76072412317633087</v>
      </c>
      <c r="AM81" s="1">
        <f t="shared" si="53"/>
        <v>3.31612244871482E-3</v>
      </c>
      <c r="AN81" s="1">
        <f t="shared" si="54"/>
        <v>34.500937956428928</v>
      </c>
      <c r="AO81" s="1">
        <f t="shared" si="55"/>
        <v>5.8737499058462586</v>
      </c>
      <c r="AP81" s="1">
        <f t="shared" si="56"/>
        <v>0.47589520997540735</v>
      </c>
    </row>
    <row r="82" spans="1:42" x14ac:dyDescent="0.45">
      <c r="A82" s="16">
        <f t="shared" si="42"/>
        <v>72</v>
      </c>
      <c r="B82" s="17">
        <f t="shared" si="43"/>
        <v>75138.9999728736</v>
      </c>
      <c r="C82" s="18">
        <f t="shared" si="30"/>
        <v>2019.0000021545129</v>
      </c>
      <c r="D82" s="19">
        <v>2.6870200600000001E-2</v>
      </c>
      <c r="E82" s="20">
        <f t="shared" si="31"/>
        <v>0.9731297994</v>
      </c>
      <c r="F82" s="21">
        <f t="shared" si="32"/>
        <v>2.5699037826990814E-2</v>
      </c>
      <c r="G82" s="1"/>
      <c r="H82" s="22">
        <f t="shared" si="33"/>
        <v>948020.99958952412</v>
      </c>
      <c r="I82" s="19">
        <f t="shared" si="44"/>
        <v>11.616896683902835</v>
      </c>
      <c r="J82" s="23">
        <f t="shared" si="45"/>
        <v>12.116896683902835</v>
      </c>
      <c r="K82" s="1"/>
      <c r="L82" s="3">
        <f t="shared" si="34"/>
        <v>72</v>
      </c>
      <c r="M82" s="24">
        <f t="shared" si="35"/>
        <v>36965.106026844318</v>
      </c>
      <c r="N82" s="24">
        <f t="shared" si="36"/>
        <v>433814.82507395878</v>
      </c>
      <c r="O82" s="24">
        <f t="shared" si="37"/>
        <v>983.52197282646466</v>
      </c>
      <c r="P82" s="24">
        <f t="shared" si="38"/>
        <v>32712.019506511413</v>
      </c>
      <c r="Q82" s="1"/>
      <c r="R82" s="1">
        <f t="shared" si="27"/>
        <v>0.78691941132212029</v>
      </c>
      <c r="S82" s="1">
        <f t="shared" si="28"/>
        <v>0.72201166112265902</v>
      </c>
      <c r="T82" s="1">
        <f t="shared" si="29"/>
        <v>0.56816499133834908</v>
      </c>
      <c r="U82" s="1"/>
      <c r="V82" s="1"/>
      <c r="W82" s="1"/>
      <c r="X82" s="1"/>
      <c r="Y82" s="1"/>
      <c r="Z82" s="1"/>
      <c r="AA82" s="1"/>
      <c r="AB82" s="3">
        <f t="shared" si="46"/>
        <v>72</v>
      </c>
      <c r="AC82" s="24">
        <f t="shared" si="47"/>
        <v>18185.217584332262</v>
      </c>
      <c r="AD82" s="24">
        <f t="shared" si="39"/>
        <v>199132.16546199832</v>
      </c>
      <c r="AE82" s="24">
        <f t="shared" si="48"/>
        <v>479.10622585449266</v>
      </c>
      <c r="AF82" s="24">
        <f t="shared" si="40"/>
        <v>14299.805282449768</v>
      </c>
      <c r="AG82" s="1"/>
      <c r="AH82" s="25">
        <f t="shared" si="41"/>
        <v>11.735792797643255</v>
      </c>
      <c r="AI82" s="1">
        <f t="shared" si="49"/>
        <v>0.87618139392697347</v>
      </c>
      <c r="AJ82" s="1">
        <f t="shared" si="50"/>
        <v>11.735792797643178</v>
      </c>
      <c r="AK82" s="26">
        <f t="shared" si="51"/>
        <v>7.638334409421077E-14</v>
      </c>
      <c r="AL82" s="1">
        <f t="shared" si="52"/>
        <v>0.77084822112610707</v>
      </c>
      <c r="AM82" s="1">
        <f t="shared" si="53"/>
        <v>3.1543860622927911E-3</v>
      </c>
      <c r="AN82" s="1">
        <f t="shared" si="54"/>
        <v>32.818232592094141</v>
      </c>
      <c r="AO82" s="1">
        <f t="shared" si="55"/>
        <v>5.7287199785025402</v>
      </c>
      <c r="AP82" s="1">
        <f t="shared" si="56"/>
        <v>0.48814085910352506</v>
      </c>
    </row>
    <row r="83" spans="1:42" x14ac:dyDescent="0.45">
      <c r="A83" s="16">
        <f t="shared" si="42"/>
        <v>73</v>
      </c>
      <c r="B83" s="17">
        <f t="shared" si="43"/>
        <v>73119.999970719087</v>
      </c>
      <c r="C83" s="18">
        <f t="shared" si="30"/>
        <v>2205.9999958206172</v>
      </c>
      <c r="D83" s="19">
        <v>3.0169584199999998E-2</v>
      </c>
      <c r="E83" s="20">
        <f t="shared" si="31"/>
        <v>0.96983041579999996</v>
      </c>
      <c r="F83" s="21">
        <f t="shared" si="32"/>
        <v>2.8890864330327077E-2</v>
      </c>
      <c r="G83" s="1"/>
      <c r="H83" s="22">
        <f t="shared" si="33"/>
        <v>872881.99961665052</v>
      </c>
      <c r="I83" s="19">
        <f t="shared" si="44"/>
        <v>10.937664113323253</v>
      </c>
      <c r="J83" s="23">
        <f t="shared" si="45"/>
        <v>11.437664113323253</v>
      </c>
      <c r="K83" s="1"/>
      <c r="L83" s="3">
        <f t="shared" si="34"/>
        <v>73</v>
      </c>
      <c r="M83" s="24">
        <f t="shared" si="35"/>
        <v>35619.181053754677</v>
      </c>
      <c r="N83" s="24">
        <f t="shared" si="36"/>
        <v>396849.71904711449</v>
      </c>
      <c r="O83" s="24">
        <f t="shared" si="37"/>
        <v>1064.0804321133967</v>
      </c>
      <c r="P83" s="24">
        <f t="shared" si="38"/>
        <v>31728.497533684949</v>
      </c>
      <c r="Q83" s="1"/>
      <c r="R83" s="1">
        <f t="shared" si="27"/>
        <v>0.765774728883861</v>
      </c>
      <c r="S83" s="1">
        <f t="shared" si="28"/>
        <v>0.71493311542537807</v>
      </c>
      <c r="T83" s="1">
        <f t="shared" si="29"/>
        <v>0.54747771263496303</v>
      </c>
      <c r="U83" s="1"/>
      <c r="V83" s="1"/>
      <c r="W83" s="1"/>
      <c r="X83" s="1"/>
      <c r="Y83" s="1"/>
      <c r="Z83" s="1"/>
      <c r="AA83" s="1"/>
      <c r="AB83" s="3">
        <f t="shared" si="46"/>
        <v>73</v>
      </c>
      <c r="AC83" s="24">
        <f t="shared" si="47"/>
        <v>17351.286371009541</v>
      </c>
      <c r="AD83" s="24">
        <f t="shared" si="39"/>
        <v>180946.94787766604</v>
      </c>
      <c r="AE83" s="24">
        <f t="shared" si="48"/>
        <v>513.26707531811985</v>
      </c>
      <c r="AF83" s="24">
        <f t="shared" si="40"/>
        <v>13820.699056595275</v>
      </c>
      <c r="AG83" s="1"/>
      <c r="AH83" s="25">
        <f t="shared" si="41"/>
        <v>11.141461069759265</v>
      </c>
      <c r="AI83" s="1">
        <f t="shared" si="49"/>
        <v>0.88195048466550963</v>
      </c>
      <c r="AJ83" s="1">
        <f t="shared" si="50"/>
        <v>11.141461069759192</v>
      </c>
      <c r="AK83" s="26">
        <f t="shared" si="51"/>
        <v>7.2830630415410269E-14</v>
      </c>
      <c r="AL83" s="1">
        <f t="shared" si="52"/>
        <v>0.7808283717718405</v>
      </c>
      <c r="AM83" s="1">
        <f t="shared" si="53"/>
        <v>2.991714370113141E-3</v>
      </c>
      <c r="AN83" s="1">
        <f t="shared" si="54"/>
        <v>31.125796306657065</v>
      </c>
      <c r="AO83" s="1">
        <f t="shared" si="55"/>
        <v>5.579049767357974</v>
      </c>
      <c r="AP83" s="1">
        <f t="shared" si="56"/>
        <v>0.50074669133843874</v>
      </c>
    </row>
    <row r="84" spans="1:42" x14ac:dyDescent="0.45">
      <c r="A84" s="16">
        <f t="shared" si="42"/>
        <v>74</v>
      </c>
      <c r="B84" s="17">
        <f t="shared" si="43"/>
        <v>70913.99997489847</v>
      </c>
      <c r="C84" s="18">
        <f t="shared" si="30"/>
        <v>2412.0000014748221</v>
      </c>
      <c r="D84" s="19">
        <v>3.4013029899999998E-2</v>
      </c>
      <c r="E84" s="20">
        <f t="shared" si="31"/>
        <v>0.96598697010000001</v>
      </c>
      <c r="F84" s="21">
        <f t="shared" si="32"/>
        <v>3.2560566312223815E-2</v>
      </c>
      <c r="G84" s="1"/>
      <c r="H84" s="22">
        <f t="shared" si="33"/>
        <v>799761.99964593141</v>
      </c>
      <c r="I84" s="19">
        <f t="shared" si="44"/>
        <v>10.277914092126016</v>
      </c>
      <c r="J84" s="23">
        <f t="shared" si="45"/>
        <v>10.777914092126016</v>
      </c>
      <c r="K84" s="1"/>
      <c r="L84" s="3">
        <f t="shared" si="34"/>
        <v>74</v>
      </c>
      <c r="M84" s="24">
        <f t="shared" si="35"/>
        <v>34205.892964251536</v>
      </c>
      <c r="N84" s="24">
        <f t="shared" si="36"/>
        <v>361230.53799335979</v>
      </c>
      <c r="O84" s="24">
        <f t="shared" si="37"/>
        <v>1152.0397262262554</v>
      </c>
      <c r="P84" s="24">
        <f t="shared" si="38"/>
        <v>30664.417101571551</v>
      </c>
      <c r="Q84" s="1"/>
      <c r="R84" s="1">
        <f t="shared" si="27"/>
        <v>0.74267162372256701</v>
      </c>
      <c r="S84" s="1">
        <f t="shared" si="28"/>
        <v>0.70792396723493323</v>
      </c>
      <c r="T84" s="1">
        <f t="shared" si="29"/>
        <v>0.52575504221848923</v>
      </c>
      <c r="U84" s="1"/>
      <c r="V84" s="1"/>
      <c r="W84" s="1"/>
      <c r="X84" s="1"/>
      <c r="Y84" s="1"/>
      <c r="Z84" s="1"/>
      <c r="AA84" s="1"/>
      <c r="AB84" s="3">
        <f t="shared" si="46"/>
        <v>74</v>
      </c>
      <c r="AC84" s="24">
        <f t="shared" si="47"/>
        <v>16499.465745776492</v>
      </c>
      <c r="AD84" s="24">
        <f t="shared" si="39"/>
        <v>163595.6615066565</v>
      </c>
      <c r="AE84" s="24">
        <f t="shared" si="48"/>
        <v>550.24690298173675</v>
      </c>
      <c r="AF84" s="24">
        <f t="shared" si="40"/>
        <v>13307.431981277156</v>
      </c>
      <c r="AG84" s="1"/>
      <c r="AH84" s="25">
        <f t="shared" si="41"/>
        <v>10.560476768458599</v>
      </c>
      <c r="AI84" s="1">
        <f t="shared" si="49"/>
        <v>0.88759001389576231</v>
      </c>
      <c r="AJ84" s="1">
        <f t="shared" si="50"/>
        <v>10.560476768458553</v>
      </c>
      <c r="AK84" s="26">
        <f t="shared" si="51"/>
        <v>4.6185277824406512E-14</v>
      </c>
      <c r="AL84" s="1">
        <f t="shared" si="52"/>
        <v>0.79064517603163031</v>
      </c>
      <c r="AM84" s="1">
        <f t="shared" si="53"/>
        <v>2.8291432641507352E-3</v>
      </c>
      <c r="AN84" s="1">
        <f t="shared" si="54"/>
        <v>29.434406520224197</v>
      </c>
      <c r="AO84" s="1">
        <f t="shared" si="55"/>
        <v>5.4253485160148189</v>
      </c>
      <c r="AP84" s="1">
        <f t="shared" si="56"/>
        <v>0.51374086937238717</v>
      </c>
    </row>
    <row r="85" spans="1:42" x14ac:dyDescent="0.45">
      <c r="A85" s="16">
        <f t="shared" si="42"/>
        <v>75</v>
      </c>
      <c r="B85" s="17">
        <f t="shared" si="43"/>
        <v>68501.999973423648</v>
      </c>
      <c r="C85" s="18">
        <f t="shared" si="30"/>
        <v>2641.9999999089923</v>
      </c>
      <c r="D85" s="19">
        <v>3.8568217000000002E-2</v>
      </c>
      <c r="E85" s="20">
        <f t="shared" si="31"/>
        <v>0.96143178299999998</v>
      </c>
      <c r="F85" s="21">
        <f t="shared" si="32"/>
        <v>3.6889433909554376E-2</v>
      </c>
      <c r="G85" s="1"/>
      <c r="H85" s="22">
        <f t="shared" si="33"/>
        <v>728847.999671033</v>
      </c>
      <c r="I85" s="19">
        <f t="shared" si="44"/>
        <v>9.6398061363726644</v>
      </c>
      <c r="J85" s="23">
        <f t="shared" si="45"/>
        <v>10.139806136372664</v>
      </c>
      <c r="K85" s="1"/>
      <c r="L85" s="3">
        <f t="shared" si="34"/>
        <v>75</v>
      </c>
      <c r="M85" s="24">
        <f t="shared" si="35"/>
        <v>32718.501346218891</v>
      </c>
      <c r="N85" s="24">
        <f t="shared" si="36"/>
        <v>327024.64502910827</v>
      </c>
      <c r="O85" s="24">
        <f t="shared" si="37"/>
        <v>1249.5227474844289</v>
      </c>
      <c r="P85" s="24">
        <f t="shared" si="38"/>
        <v>29512.377375345295</v>
      </c>
      <c r="Q85" s="1"/>
      <c r="R85" s="1">
        <f t="shared" si="27"/>
        <v>0.71741111157900983</v>
      </c>
      <c r="S85" s="1">
        <f t="shared" si="28"/>
        <v>0.70098353618361042</v>
      </c>
      <c r="T85" s="1">
        <f t="shared" si="29"/>
        <v>0.502893377892069</v>
      </c>
      <c r="U85" s="1"/>
      <c r="V85" s="1"/>
      <c r="W85" s="1"/>
      <c r="X85" s="1"/>
      <c r="Y85" s="1"/>
      <c r="Z85" s="1"/>
      <c r="AA85" s="1"/>
      <c r="AB85" s="3">
        <f t="shared" si="46"/>
        <v>75</v>
      </c>
      <c r="AC85" s="24">
        <f t="shared" si="47"/>
        <v>15627.285783741256</v>
      </c>
      <c r="AD85" s="24">
        <f t="shared" si="39"/>
        <v>147096.19576088001</v>
      </c>
      <c r="AE85" s="24">
        <f t="shared" si="48"/>
        <v>590.95650890795514</v>
      </c>
      <c r="AF85" s="24">
        <f t="shared" si="40"/>
        <v>12757.185078295419</v>
      </c>
      <c r="AG85" s="1"/>
      <c r="AH85" s="25">
        <f t="shared" si="41"/>
        <v>9.9950985397716217</v>
      </c>
      <c r="AI85" s="1">
        <f t="shared" si="49"/>
        <v>0.89307805727265011</v>
      </c>
      <c r="AJ85" s="1">
        <f t="shared" si="50"/>
        <v>9.9950985397715719</v>
      </c>
      <c r="AK85" s="26">
        <f t="shared" si="51"/>
        <v>4.9737991503207013E-14</v>
      </c>
      <c r="AL85" s="1">
        <f t="shared" si="52"/>
        <v>0.80025529108945248</v>
      </c>
      <c r="AM85" s="1">
        <f t="shared" si="53"/>
        <v>2.6668747075615507E-3</v>
      </c>
      <c r="AN85" s="1">
        <f t="shared" si="54"/>
        <v>27.746164457470325</v>
      </c>
      <c r="AO85" s="1">
        <f t="shared" si="55"/>
        <v>5.2674628102598247</v>
      </c>
      <c r="AP85" s="1">
        <f t="shared" si="56"/>
        <v>0.52700459022990098</v>
      </c>
    </row>
    <row r="86" spans="1:42" x14ac:dyDescent="0.45">
      <c r="A86" s="16">
        <f t="shared" si="42"/>
        <v>76</v>
      </c>
      <c r="B86" s="17">
        <f t="shared" si="43"/>
        <v>65859.999973514656</v>
      </c>
      <c r="C86" s="18">
        <f t="shared" si="30"/>
        <v>2879.0000016242193</v>
      </c>
      <c r="D86" s="19">
        <v>4.3713938700000003E-2</v>
      </c>
      <c r="E86" s="20">
        <f t="shared" si="31"/>
        <v>0.95628606130000005</v>
      </c>
      <c r="F86" s="21">
        <f t="shared" si="32"/>
        <v>4.1914667504960978E-2</v>
      </c>
      <c r="G86" s="1"/>
      <c r="H86" s="22">
        <f t="shared" si="33"/>
        <v>660345.99969760934</v>
      </c>
      <c r="I86" s="19">
        <f t="shared" si="44"/>
        <v>9.0265107798840702</v>
      </c>
      <c r="J86" s="23">
        <f t="shared" si="45"/>
        <v>9.5265107798840702</v>
      </c>
      <c r="K86" s="1"/>
      <c r="L86" s="3">
        <f t="shared" si="34"/>
        <v>76</v>
      </c>
      <c r="M86" s="24">
        <f t="shared" si="35"/>
        <v>31148.208977693099</v>
      </c>
      <c r="N86" s="24">
        <f t="shared" si="36"/>
        <v>294306.14368288941</v>
      </c>
      <c r="O86" s="24">
        <f t="shared" si="37"/>
        <v>1348.2617714160015</v>
      </c>
      <c r="P86" s="24">
        <f t="shared" si="38"/>
        <v>28262.854627860866</v>
      </c>
      <c r="Q86" s="1"/>
      <c r="R86" s="1">
        <f t="shared" si="27"/>
        <v>0.68974184414941941</v>
      </c>
      <c r="S86" s="1">
        <f t="shared" si="28"/>
        <v>0.69411114857396738</v>
      </c>
      <c r="T86" s="1">
        <f t="shared" si="29"/>
        <v>0.47875750366207992</v>
      </c>
      <c r="U86" s="1"/>
      <c r="V86" s="1"/>
      <c r="W86" s="1"/>
      <c r="X86" s="1"/>
      <c r="Y86" s="1"/>
      <c r="Z86" s="1"/>
      <c r="AA86" s="1"/>
      <c r="AB86" s="3">
        <f t="shared" si="46"/>
        <v>76</v>
      </c>
      <c r="AC86" s="24">
        <f t="shared" si="47"/>
        <v>14731.413952447732</v>
      </c>
      <c r="AD86" s="24">
        <f t="shared" si="39"/>
        <v>131468.90997713877</v>
      </c>
      <c r="AE86" s="24">
        <f t="shared" si="48"/>
        <v>631.40319667810957</v>
      </c>
      <c r="AF86" s="24">
        <f t="shared" si="40"/>
        <v>12166.228569387464</v>
      </c>
      <c r="AG86" s="1"/>
      <c r="AH86" s="25">
        <f t="shared" si="41"/>
        <v>9.4485735566259308</v>
      </c>
      <c r="AI86" s="1">
        <f t="shared" si="49"/>
        <v>0.89838309496577484</v>
      </c>
      <c r="AJ86" s="1">
        <f t="shared" si="50"/>
        <v>9.4485735566258704</v>
      </c>
      <c r="AK86" s="26">
        <f t="shared" si="51"/>
        <v>6.0396132539608516E-14</v>
      </c>
      <c r="AL86" s="1">
        <f t="shared" si="52"/>
        <v>0.80959681407706752</v>
      </c>
      <c r="AM86" s="1">
        <f t="shared" si="53"/>
        <v>2.5046287567831449E-3</v>
      </c>
      <c r="AN86" s="1">
        <f t="shared" si="54"/>
        <v>26.058157585571795</v>
      </c>
      <c r="AO86" s="1">
        <f t="shared" si="55"/>
        <v>5.1047191485498784</v>
      </c>
      <c r="AP86" s="1">
        <f t="shared" si="56"/>
        <v>0.54026347130145691</v>
      </c>
    </row>
    <row r="87" spans="1:42" x14ac:dyDescent="0.45">
      <c r="A87" s="16">
        <f t="shared" si="42"/>
        <v>77</v>
      </c>
      <c r="B87" s="17">
        <f t="shared" si="43"/>
        <v>62980.999971890436</v>
      </c>
      <c r="C87" s="18">
        <f t="shared" si="30"/>
        <v>3114.0000014331672</v>
      </c>
      <c r="D87" s="19">
        <v>4.9443483000000003E-2</v>
      </c>
      <c r="E87" s="20">
        <f t="shared" si="31"/>
        <v>0.95055651699999999</v>
      </c>
      <c r="F87" s="21">
        <f t="shared" si="32"/>
        <v>4.7577840981662498E-2</v>
      </c>
      <c r="G87" s="1"/>
      <c r="H87" s="22">
        <f t="shared" si="33"/>
        <v>594485.99972409464</v>
      </c>
      <c r="I87" s="19">
        <f t="shared" si="44"/>
        <v>8.4391324365987277</v>
      </c>
      <c r="J87" s="23">
        <f t="shared" si="45"/>
        <v>8.9391324365987277</v>
      </c>
      <c r="K87" s="1"/>
      <c r="L87" s="3">
        <f t="shared" si="34"/>
        <v>77</v>
      </c>
      <c r="M87" s="24">
        <f t="shared" si="35"/>
        <v>29494.572608456576</v>
      </c>
      <c r="N87" s="24">
        <f t="shared" si="36"/>
        <v>263157.9347051963</v>
      </c>
      <c r="O87" s="24">
        <f t="shared" si="37"/>
        <v>1444.0171993647787</v>
      </c>
      <c r="P87" s="24">
        <f t="shared" si="38"/>
        <v>26914.592856444866</v>
      </c>
      <c r="Q87" s="1"/>
      <c r="R87" s="1">
        <f t="shared" si="27"/>
        <v>0.65959051145544678</v>
      </c>
      <c r="S87" s="1">
        <f t="shared" si="28"/>
        <v>0.68730613731343815</v>
      </c>
      <c r="T87" s="1">
        <f t="shared" si="29"/>
        <v>0.45334060663703818</v>
      </c>
      <c r="U87" s="1"/>
      <c r="V87" s="1"/>
      <c r="W87" s="1"/>
      <c r="X87" s="1"/>
      <c r="Y87" s="1"/>
      <c r="Z87" s="1"/>
      <c r="AA87" s="1"/>
      <c r="AB87" s="3">
        <f t="shared" si="46"/>
        <v>77</v>
      </c>
      <c r="AC87" s="24">
        <f t="shared" si="47"/>
        <v>13812.57543931952</v>
      </c>
      <c r="AD87" s="24">
        <f t="shared" si="39"/>
        <v>116737.49602469105</v>
      </c>
      <c r="AE87" s="24">
        <f t="shared" si="48"/>
        <v>669.61646470829385</v>
      </c>
      <c r="AF87" s="24">
        <f t="shared" si="40"/>
        <v>11534.825372709354</v>
      </c>
      <c r="AG87" s="1"/>
      <c r="AH87" s="25">
        <f t="shared" si="41"/>
        <v>8.9222494659829259</v>
      </c>
      <c r="AI87" s="1">
        <f t="shared" si="49"/>
        <v>0.90349204556413454</v>
      </c>
      <c r="AJ87" s="1">
        <f t="shared" si="50"/>
        <v>8.9222494659828513</v>
      </c>
      <c r="AK87" s="26">
        <f t="shared" si="51"/>
        <v>7.460698725481052E-14</v>
      </c>
      <c r="AL87" s="1">
        <f t="shared" si="52"/>
        <v>0.81864122973599218</v>
      </c>
      <c r="AM87" s="1">
        <f t="shared" si="53"/>
        <v>2.3433533383280247E-3</v>
      </c>
      <c r="AN87" s="1">
        <f t="shared" si="54"/>
        <v>24.380248131964727</v>
      </c>
      <c r="AO87" s="1">
        <f t="shared" si="55"/>
        <v>4.9376358849113942</v>
      </c>
      <c r="AP87" s="1">
        <f t="shared" si="56"/>
        <v>0.55340706441090703</v>
      </c>
    </row>
    <row r="88" spans="1:42" x14ac:dyDescent="0.45">
      <c r="A88" s="16">
        <f t="shared" si="42"/>
        <v>78</v>
      </c>
      <c r="B88" s="17">
        <f t="shared" si="43"/>
        <v>59866.999970457269</v>
      </c>
      <c r="C88" s="18">
        <f t="shared" si="30"/>
        <v>3342.9999969924174</v>
      </c>
      <c r="D88" s="19">
        <v>5.5840446299999999E-2</v>
      </c>
      <c r="E88" s="20">
        <f t="shared" si="31"/>
        <v>0.94415955370000004</v>
      </c>
      <c r="F88" s="21">
        <f t="shared" si="32"/>
        <v>5.3927873466283076E-2</v>
      </c>
      <c r="G88" s="1"/>
      <c r="H88" s="22">
        <f t="shared" si="33"/>
        <v>531504.99975220417</v>
      </c>
      <c r="I88" s="19">
        <f t="shared" si="44"/>
        <v>7.8780964473664516</v>
      </c>
      <c r="J88" s="23">
        <f t="shared" si="45"/>
        <v>8.3780964473664525</v>
      </c>
      <c r="K88" s="1"/>
      <c r="L88" s="3">
        <f t="shared" si="34"/>
        <v>78</v>
      </c>
      <c r="M88" s="24">
        <f t="shared" si="35"/>
        <v>27761.392932538303</v>
      </c>
      <c r="N88" s="24">
        <f t="shared" si="36"/>
        <v>233663.3620967397</v>
      </c>
      <c r="O88" s="24">
        <f t="shared" si="37"/>
        <v>1535.0104480149307</v>
      </c>
      <c r="P88" s="24">
        <f t="shared" si="38"/>
        <v>25470.575657080088</v>
      </c>
      <c r="Q88" s="1"/>
      <c r="R88" s="1">
        <f t="shared" si="27"/>
        <v>0.626978059215338</v>
      </c>
      <c r="S88" s="1">
        <f t="shared" si="28"/>
        <v>0.68056784184958063</v>
      </c>
      <c r="T88" s="1">
        <f t="shared" si="29"/>
        <v>0.42670110464722116</v>
      </c>
      <c r="U88" s="1"/>
      <c r="V88" s="1"/>
      <c r="W88" s="1"/>
      <c r="X88" s="1"/>
      <c r="Y88" s="1"/>
      <c r="Z88" s="1"/>
      <c r="AA88" s="1"/>
      <c r="AB88" s="3">
        <f t="shared" si="46"/>
        <v>78</v>
      </c>
      <c r="AC88" s="24">
        <f t="shared" si="47"/>
        <v>12873.451783705626</v>
      </c>
      <c r="AD88" s="24">
        <f t="shared" si="39"/>
        <v>102924.92058537152</v>
      </c>
      <c r="AE88" s="24">
        <f t="shared" si="48"/>
        <v>704.83310727934258</v>
      </c>
      <c r="AF88" s="24">
        <f t="shared" si="40"/>
        <v>10865.208908001061</v>
      </c>
      <c r="AG88" s="1"/>
      <c r="AH88" s="25">
        <f t="shared" si="41"/>
        <v>8.4168457492228281</v>
      </c>
      <c r="AI88" s="1">
        <f t="shared" si="49"/>
        <v>0.90839792516770757</v>
      </c>
      <c r="AJ88" s="1">
        <f t="shared" si="50"/>
        <v>8.4168457492227642</v>
      </c>
      <c r="AK88" s="26">
        <f t="shared" si="51"/>
        <v>6.3948846218409017E-14</v>
      </c>
      <c r="AL88" s="1">
        <f t="shared" si="52"/>
        <v>0.82737105381291887</v>
      </c>
      <c r="AM88" s="1">
        <f t="shared" si="53"/>
        <v>2.1842633639228559E-3</v>
      </c>
      <c r="AN88" s="1">
        <f t="shared" si="54"/>
        <v>22.725076038253352</v>
      </c>
      <c r="AO88" s="1">
        <f t="shared" si="55"/>
        <v>4.7670825499726091</v>
      </c>
      <c r="AP88" s="1">
        <f t="shared" si="56"/>
        <v>0.5663739947251355</v>
      </c>
    </row>
    <row r="89" spans="1:42" x14ac:dyDescent="0.45">
      <c r="A89" s="16">
        <f t="shared" si="42"/>
        <v>79</v>
      </c>
      <c r="B89" s="17">
        <f t="shared" si="43"/>
        <v>56523.999973464852</v>
      </c>
      <c r="C89" s="18">
        <f t="shared" si="30"/>
        <v>3549.9999983058588</v>
      </c>
      <c r="D89" s="19">
        <v>6.2805180099999997E-2</v>
      </c>
      <c r="E89" s="20">
        <f t="shared" si="31"/>
        <v>0.93719481989999998</v>
      </c>
      <c r="F89" s="21">
        <f t="shared" si="32"/>
        <v>6.0974099484592294E-2</v>
      </c>
      <c r="G89" s="1"/>
      <c r="H89" s="22">
        <f t="shared" si="33"/>
        <v>471637.99978174688</v>
      </c>
      <c r="I89" s="19">
        <f t="shared" si="44"/>
        <v>7.3440308542063013</v>
      </c>
      <c r="J89" s="23">
        <f t="shared" si="45"/>
        <v>7.8440308542063013</v>
      </c>
      <c r="K89" s="1"/>
      <c r="L89" s="3">
        <f t="shared" si="34"/>
        <v>79</v>
      </c>
      <c r="M89" s="24">
        <f t="shared" si="35"/>
        <v>25954.211965576924</v>
      </c>
      <c r="N89" s="24">
        <f t="shared" si="36"/>
        <v>205901.96916420141</v>
      </c>
      <c r="O89" s="24">
        <f t="shared" si="37"/>
        <v>1614.0779866864232</v>
      </c>
      <c r="P89" s="24">
        <f t="shared" si="38"/>
        <v>23935.565209065157</v>
      </c>
      <c r="Q89" s="1"/>
      <c r="R89" s="1">
        <f t="shared" si="27"/>
        <v>0.59196732456844581</v>
      </c>
      <c r="S89" s="1">
        <f t="shared" si="28"/>
        <v>0.67389560810595739</v>
      </c>
      <c r="T89" s="1">
        <f t="shared" si="29"/>
        <v>0.39892418016890946</v>
      </c>
      <c r="U89" s="1"/>
      <c r="V89" s="1"/>
      <c r="W89" s="1"/>
      <c r="X89" s="1"/>
      <c r="Y89" s="1"/>
      <c r="Z89" s="1"/>
      <c r="AA89" s="1"/>
      <c r="AB89" s="3">
        <f t="shared" si="46"/>
        <v>79</v>
      </c>
      <c r="AC89" s="24">
        <f t="shared" si="47"/>
        <v>11917.435409212498</v>
      </c>
      <c r="AD89" s="24">
        <f t="shared" si="39"/>
        <v>90051.468801665906</v>
      </c>
      <c r="AE89" s="24">
        <f t="shared" si="48"/>
        <v>733.8726051687272</v>
      </c>
      <c r="AF89" s="24">
        <f t="shared" si="40"/>
        <v>10160.375800721718</v>
      </c>
      <c r="AG89" s="1"/>
      <c r="AH89" s="25">
        <f t="shared" si="41"/>
        <v>7.933277628975568</v>
      </c>
      <c r="AI89" s="1">
        <f t="shared" si="49"/>
        <v>0.91309184984492797</v>
      </c>
      <c r="AJ89" s="1">
        <f t="shared" si="50"/>
        <v>7.9332776289755147</v>
      </c>
      <c r="AK89" s="26">
        <f t="shared" si="51"/>
        <v>5.3290705182007514E-14</v>
      </c>
      <c r="AL89" s="1">
        <f t="shared" si="52"/>
        <v>0.83576507158895086</v>
      </c>
      <c r="AM89" s="1">
        <f t="shared" si="53"/>
        <v>2.0283453357183845E-3</v>
      </c>
      <c r="AN89" s="1">
        <f t="shared" si="54"/>
        <v>21.102904872814037</v>
      </c>
      <c r="AO89" s="1">
        <f t="shared" si="55"/>
        <v>4.5937898159160522</v>
      </c>
      <c r="AP89" s="1">
        <f t="shared" si="56"/>
        <v>0.57905320231547885</v>
      </c>
    </row>
    <row r="90" spans="1:42" x14ac:dyDescent="0.45">
      <c r="A90" s="16">
        <f t="shared" si="42"/>
        <v>80</v>
      </c>
      <c r="B90" s="17">
        <f t="shared" si="43"/>
        <v>52973.999975158993</v>
      </c>
      <c r="C90" s="18">
        <f t="shared" si="30"/>
        <v>3727.9999978610358</v>
      </c>
      <c r="D90" s="19">
        <v>7.0374145799999996E-2</v>
      </c>
      <c r="E90" s="20">
        <f t="shared" si="31"/>
        <v>0.92962585419999999</v>
      </c>
      <c r="F90" s="21">
        <f t="shared" si="32"/>
        <v>6.8694076335369753E-2</v>
      </c>
      <c r="G90" s="1"/>
      <c r="H90" s="22">
        <f t="shared" si="33"/>
        <v>415113.99980828201</v>
      </c>
      <c r="I90" s="19">
        <f t="shared" si="44"/>
        <v>6.8361837883290049</v>
      </c>
      <c r="J90" s="23">
        <f t="shared" si="45"/>
        <v>7.3361837883290049</v>
      </c>
      <c r="K90" s="1"/>
      <c r="L90" s="3">
        <f t="shared" si="34"/>
        <v>80</v>
      </c>
      <c r="M90" s="24">
        <f t="shared" si="35"/>
        <v>24085.680920404451</v>
      </c>
      <c r="N90" s="24">
        <f t="shared" si="36"/>
        <v>179947.75719862449</v>
      </c>
      <c r="O90" s="24">
        <f t="shared" si="37"/>
        <v>1678.3914833261467</v>
      </c>
      <c r="P90" s="24">
        <f t="shared" si="38"/>
        <v>22321.487222378732</v>
      </c>
      <c r="Q90" s="1"/>
      <c r="R90" s="1">
        <f t="shared" si="27"/>
        <v>0.55478871013560938</v>
      </c>
      <c r="S90" s="1">
        <f t="shared" si="28"/>
        <v>0.66728878841864414</v>
      </c>
      <c r="T90" s="1">
        <f t="shared" si="29"/>
        <v>0.37020428621473311</v>
      </c>
      <c r="U90" s="1"/>
      <c r="V90" s="1"/>
      <c r="W90" s="1"/>
      <c r="X90" s="1"/>
      <c r="Y90" s="1"/>
      <c r="Z90" s="1"/>
      <c r="AA90" s="1"/>
      <c r="AB90" s="3">
        <f t="shared" si="46"/>
        <v>80</v>
      </c>
      <c r="AC90" s="24">
        <f t="shared" si="47"/>
        <v>10951.033066628343</v>
      </c>
      <c r="AD90" s="24">
        <f t="shared" si="39"/>
        <v>78134.033392453406</v>
      </c>
      <c r="AE90" s="24">
        <f t="shared" si="48"/>
        <v>755.63250346513269</v>
      </c>
      <c r="AF90" s="24">
        <f t="shared" si="40"/>
        <v>9426.5031955529903</v>
      </c>
      <c r="AG90" s="1"/>
      <c r="AH90" s="25">
        <f t="shared" si="41"/>
        <v>7.4711509213002882</v>
      </c>
      <c r="AI90" s="1">
        <f t="shared" si="49"/>
        <v>0.9175776458813798</v>
      </c>
      <c r="AJ90" s="1">
        <f t="shared" si="50"/>
        <v>7.4711509213002421</v>
      </c>
      <c r="AK90" s="26">
        <f t="shared" si="51"/>
        <v>4.6185277824406512E-14</v>
      </c>
      <c r="AL90" s="1">
        <f t="shared" si="52"/>
        <v>0.84382576384342911</v>
      </c>
      <c r="AM90" s="1">
        <f t="shared" si="53"/>
        <v>1.8770276222143112E-3</v>
      </c>
      <c r="AN90" s="1">
        <f t="shared" si="54"/>
        <v>19.528595381517661</v>
      </c>
      <c r="AO90" s="1">
        <f t="shared" si="55"/>
        <v>4.4191170364132315</v>
      </c>
      <c r="AP90" s="1">
        <f t="shared" si="56"/>
        <v>0.59149080014088684</v>
      </c>
    </row>
    <row r="91" spans="1:42" x14ac:dyDescent="0.45">
      <c r="A91" s="16">
        <f t="shared" si="42"/>
        <v>81</v>
      </c>
      <c r="B91" s="17">
        <f t="shared" si="43"/>
        <v>49245.999977297957</v>
      </c>
      <c r="C91" s="18">
        <f t="shared" si="30"/>
        <v>3882.9999993355668</v>
      </c>
      <c r="D91" s="19">
        <v>7.8849043600000002E-2</v>
      </c>
      <c r="E91" s="20">
        <f t="shared" si="31"/>
        <v>0.9211509564</v>
      </c>
      <c r="F91" s="21">
        <f t="shared" si="32"/>
        <v>7.7275311707602823E-2</v>
      </c>
      <c r="G91" s="1"/>
      <c r="H91" s="22">
        <f t="shared" si="33"/>
        <v>362139.999833123</v>
      </c>
      <c r="I91" s="19">
        <f t="shared" si="44"/>
        <v>6.3536937010126078</v>
      </c>
      <c r="J91" s="23">
        <f t="shared" si="45"/>
        <v>6.8536937010126078</v>
      </c>
      <c r="K91" s="1"/>
      <c r="L91" s="3">
        <f t="shared" si="34"/>
        <v>81</v>
      </c>
      <c r="M91" s="24">
        <f t="shared" si="35"/>
        <v>22171.155310407674</v>
      </c>
      <c r="N91" s="24">
        <f t="shared" si="36"/>
        <v>155862.07627822005</v>
      </c>
      <c r="O91" s="24">
        <f t="shared" si="37"/>
        <v>1731.0354271078766</v>
      </c>
      <c r="P91" s="24">
        <f t="shared" si="38"/>
        <v>20643.095739052584</v>
      </c>
      <c r="Q91" s="1"/>
      <c r="R91" s="1">
        <f t="shared" si="27"/>
        <v>0.51574592856033197</v>
      </c>
      <c r="S91" s="1">
        <f t="shared" si="28"/>
        <v>0.66074674147336354</v>
      </c>
      <c r="T91" s="1">
        <f t="shared" si="29"/>
        <v>0.3407774417243935</v>
      </c>
      <c r="U91" s="1"/>
      <c r="V91" s="1"/>
      <c r="W91" s="1"/>
      <c r="X91" s="1"/>
      <c r="Y91" s="1"/>
      <c r="Z91" s="1"/>
      <c r="AA91" s="1"/>
      <c r="AB91" s="3">
        <f t="shared" si="46"/>
        <v>81</v>
      </c>
      <c r="AC91" s="24">
        <f t="shared" si="47"/>
        <v>9981.7270037124672</v>
      </c>
      <c r="AD91" s="24">
        <f t="shared" si="39"/>
        <v>67183.000325825065</v>
      </c>
      <c r="AE91" s="24">
        <f t="shared" si="48"/>
        <v>771.69293083061723</v>
      </c>
      <c r="AF91" s="24">
        <f t="shared" si="40"/>
        <v>8670.8706920878576</v>
      </c>
      <c r="AG91" s="1"/>
      <c r="AH91" s="25">
        <f t="shared" si="41"/>
        <v>7.0299483313372777</v>
      </c>
      <c r="AI91" s="1">
        <f t="shared" si="49"/>
        <v>0.92186033458224381</v>
      </c>
      <c r="AJ91" s="1">
        <f t="shared" si="50"/>
        <v>7.0299483313372324</v>
      </c>
      <c r="AK91" s="26">
        <f t="shared" si="51"/>
        <v>4.5297099404706387E-14</v>
      </c>
      <c r="AL91" s="1">
        <f t="shared" si="52"/>
        <v>0.8515580802010112</v>
      </c>
      <c r="AM91" s="1">
        <f t="shared" si="53"/>
        <v>1.7316037249246463E-3</v>
      </c>
      <c r="AN91" s="1">
        <f t="shared" si="54"/>
        <v>18.015605154115988</v>
      </c>
      <c r="AO91" s="1">
        <f t="shared" si="55"/>
        <v>4.2444793737413766</v>
      </c>
      <c r="AP91" s="1">
        <f t="shared" si="56"/>
        <v>0.60377106255828872</v>
      </c>
    </row>
    <row r="92" spans="1:42" x14ac:dyDescent="0.45">
      <c r="A92" s="16">
        <f t="shared" si="42"/>
        <v>82</v>
      </c>
      <c r="B92" s="17">
        <f t="shared" si="43"/>
        <v>45362.99997796239</v>
      </c>
      <c r="C92" s="18">
        <f t="shared" si="30"/>
        <v>4011.9999964821473</v>
      </c>
      <c r="D92" s="19">
        <v>8.8442122400000003E-2</v>
      </c>
      <c r="E92" s="20">
        <f t="shared" si="31"/>
        <v>0.91155787759999996</v>
      </c>
      <c r="F92" s="21">
        <f t="shared" si="32"/>
        <v>8.7020258797402633E-2</v>
      </c>
      <c r="G92" s="1"/>
      <c r="H92" s="22">
        <f t="shared" si="33"/>
        <v>312893.99985582504</v>
      </c>
      <c r="I92" s="19">
        <f t="shared" si="44"/>
        <v>5.8975596853786287</v>
      </c>
      <c r="J92" s="23">
        <f t="shared" si="45"/>
        <v>6.3975596853786287</v>
      </c>
      <c r="K92" s="1"/>
      <c r="L92" s="3">
        <f t="shared" si="34"/>
        <v>82</v>
      </c>
      <c r="M92" s="24">
        <f t="shared" si="35"/>
        <v>20222.755615550705</v>
      </c>
      <c r="N92" s="24">
        <f t="shared" si="36"/>
        <v>133690.92096781236</v>
      </c>
      <c r="O92" s="24">
        <f t="shared" si="37"/>
        <v>1771.008687931354</v>
      </c>
      <c r="P92" s="24">
        <f t="shared" si="38"/>
        <v>18912.060311944708</v>
      </c>
      <c r="Q92" s="1"/>
      <c r="R92" s="1">
        <f t="shared" si="27"/>
        <v>0.47507985535275588</v>
      </c>
      <c r="S92" s="1">
        <f t="shared" si="28"/>
        <v>0.65426883224323218</v>
      </c>
      <c r="T92" s="1">
        <f t="shared" si="29"/>
        <v>0.31082994218393123</v>
      </c>
      <c r="U92" s="1"/>
      <c r="V92" s="1"/>
      <c r="W92" s="1"/>
      <c r="X92" s="1"/>
      <c r="Y92" s="1"/>
      <c r="Z92" s="1"/>
      <c r="AA92" s="1"/>
      <c r="AB92" s="3">
        <f t="shared" si="46"/>
        <v>82</v>
      </c>
      <c r="AC92" s="24">
        <f t="shared" si="47"/>
        <v>9015.2733479920353</v>
      </c>
      <c r="AD92" s="24">
        <f t="shared" si="39"/>
        <v>57201.273322112604</v>
      </c>
      <c r="AE92" s="24">
        <f t="shared" si="48"/>
        <v>781.77262599164942</v>
      </c>
      <c r="AF92" s="24">
        <f t="shared" si="40"/>
        <v>7899.1777612572405</v>
      </c>
      <c r="AG92" s="1"/>
      <c r="AH92" s="25">
        <f t="shared" si="41"/>
        <v>6.6109151249895923</v>
      </c>
      <c r="AI92" s="1">
        <f t="shared" si="49"/>
        <v>0.92592782833440535</v>
      </c>
      <c r="AJ92" s="1">
        <f t="shared" si="50"/>
        <v>6.6109151249895559</v>
      </c>
      <c r="AK92" s="26">
        <f t="shared" si="51"/>
        <v>3.6415315207705135E-14</v>
      </c>
      <c r="AL92" s="1">
        <f t="shared" si="52"/>
        <v>0.85893488239579441</v>
      </c>
      <c r="AM92" s="1">
        <f t="shared" si="53"/>
        <v>1.5925391117264098E-3</v>
      </c>
      <c r="AN92" s="1">
        <f t="shared" si="54"/>
        <v>16.568776918401539</v>
      </c>
      <c r="AO92" s="1">
        <f t="shared" si="55"/>
        <v>4.070476252037535</v>
      </c>
      <c r="AP92" s="1">
        <f t="shared" si="56"/>
        <v>0.61572054323476788</v>
      </c>
    </row>
    <row r="93" spans="1:42" x14ac:dyDescent="0.45">
      <c r="A93" s="16">
        <f t="shared" si="42"/>
        <v>83</v>
      </c>
      <c r="B93" s="17">
        <f t="shared" si="43"/>
        <v>41350.999981480243</v>
      </c>
      <c r="C93" s="18">
        <f t="shared" si="30"/>
        <v>4094.9999982391819</v>
      </c>
      <c r="D93" s="19">
        <v>9.9030253200000001E-2</v>
      </c>
      <c r="E93" s="20">
        <f t="shared" si="31"/>
        <v>0.90096974679999997</v>
      </c>
      <c r="F93" s="21">
        <f t="shared" si="32"/>
        <v>9.8026649879714989E-2</v>
      </c>
      <c r="G93" s="1"/>
      <c r="H93" s="22">
        <f t="shared" si="33"/>
        <v>267530.99987786263</v>
      </c>
      <c r="I93" s="19">
        <f t="shared" si="44"/>
        <v>5.4697588933201375</v>
      </c>
      <c r="J93" s="23">
        <f t="shared" si="45"/>
        <v>5.9697588933201375</v>
      </c>
      <c r="K93" s="1"/>
      <c r="L93" s="3">
        <f t="shared" si="34"/>
        <v>83</v>
      </c>
      <c r="M93" s="24">
        <f t="shared" si="35"/>
        <v>18253.484617662973</v>
      </c>
      <c r="N93" s="24">
        <f t="shared" si="36"/>
        <v>113468.16535226165</v>
      </c>
      <c r="O93" s="24">
        <f t="shared" si="37"/>
        <v>1789.9251720629054</v>
      </c>
      <c r="P93" s="24">
        <f t="shared" si="38"/>
        <v>17141.051624013355</v>
      </c>
      <c r="Q93" s="1"/>
      <c r="R93" s="1">
        <f t="shared" si="27"/>
        <v>0.43306278463587317</v>
      </c>
      <c r="S93" s="1">
        <f t="shared" si="28"/>
        <v>0.64785443192712222</v>
      </c>
      <c r="T93" s="1">
        <f t="shared" si="29"/>
        <v>0.28056164432905129</v>
      </c>
      <c r="U93" s="1"/>
      <c r="V93" s="1"/>
      <c r="W93" s="1"/>
      <c r="X93" s="1"/>
      <c r="Y93" s="1"/>
      <c r="Z93" s="1"/>
      <c r="AA93" s="1"/>
      <c r="AB93" s="3">
        <f t="shared" si="46"/>
        <v>83</v>
      </c>
      <c r="AC93" s="24">
        <f t="shared" si="47"/>
        <v>8057.597176283125</v>
      </c>
      <c r="AD93" s="24">
        <f t="shared" si="39"/>
        <v>48185.999974120568</v>
      </c>
      <c r="AE93" s="24">
        <f t="shared" si="48"/>
        <v>782.3765868039178</v>
      </c>
      <c r="AF93" s="24">
        <f t="shared" si="40"/>
        <v>7117.4051352655915</v>
      </c>
      <c r="AG93" s="1"/>
      <c r="AH93" s="25">
        <f t="shared" si="41"/>
        <v>6.216246800485659</v>
      </c>
      <c r="AI93" s="1">
        <f t="shared" si="49"/>
        <v>0.92975881575921537</v>
      </c>
      <c r="AJ93" s="1">
        <f t="shared" si="50"/>
        <v>6.2162468004856235</v>
      </c>
      <c r="AK93" s="26">
        <f t="shared" si="51"/>
        <v>3.5527136788005009E-14</v>
      </c>
      <c r="AL93" s="1">
        <f t="shared" si="52"/>
        <v>0.86591126156890785</v>
      </c>
      <c r="AM93" s="1">
        <f t="shared" si="53"/>
        <v>1.459806086929305E-3</v>
      </c>
      <c r="AN93" s="1">
        <f t="shared" si="54"/>
        <v>15.187822528412463</v>
      </c>
      <c r="AO93" s="1">
        <f t="shared" si="55"/>
        <v>3.8971556972248957</v>
      </c>
      <c r="AP93" s="1">
        <f t="shared" si="56"/>
        <v>0.62693065804923021</v>
      </c>
    </row>
    <row r="94" spans="1:42" x14ac:dyDescent="0.45">
      <c r="A94" s="16">
        <f t="shared" si="42"/>
        <v>84</v>
      </c>
      <c r="B94" s="17">
        <f t="shared" si="43"/>
        <v>37255.999983241061</v>
      </c>
      <c r="C94" s="18">
        <f t="shared" si="30"/>
        <v>4095.9999995942853</v>
      </c>
      <c r="D94" s="19">
        <v>0.1099420228</v>
      </c>
      <c r="E94" s="20">
        <f t="shared" si="31"/>
        <v>0.89005797720000002</v>
      </c>
      <c r="F94" s="21">
        <f t="shared" si="32"/>
        <v>0.10992860212473213</v>
      </c>
      <c r="G94" s="1"/>
      <c r="H94" s="22">
        <f t="shared" si="33"/>
        <v>226179.99989638242</v>
      </c>
      <c r="I94" s="19">
        <f t="shared" si="44"/>
        <v>5.0709684345642421</v>
      </c>
      <c r="J94" s="23">
        <f t="shared" si="45"/>
        <v>5.5709684345642421</v>
      </c>
      <c r="K94" s="1"/>
      <c r="L94" s="3">
        <f t="shared" si="34"/>
        <v>84</v>
      </c>
      <c r="M94" s="24">
        <f t="shared" si="35"/>
        <v>16284.603714054354</v>
      </c>
      <c r="N94" s="24">
        <f t="shared" si="36"/>
        <v>95214.680734598674</v>
      </c>
      <c r="O94" s="24">
        <f t="shared" si="37"/>
        <v>1772.8097015173748</v>
      </c>
      <c r="P94" s="24">
        <f t="shared" si="38"/>
        <v>15351.126451950449</v>
      </c>
      <c r="Q94" s="1"/>
      <c r="R94" s="1">
        <f t="shared" si="27"/>
        <v>0.39017646742188561</v>
      </c>
      <c r="S94" s="1">
        <f t="shared" si="28"/>
        <v>0.64150291788862124</v>
      </c>
      <c r="T94" s="1">
        <f t="shared" si="29"/>
        <v>0.2502993423426142</v>
      </c>
      <c r="U94" s="1"/>
      <c r="V94" s="1"/>
      <c r="W94" s="1"/>
      <c r="X94" s="1"/>
      <c r="Y94" s="1"/>
      <c r="Z94" s="1"/>
      <c r="AA94" s="1"/>
      <c r="AB94" s="3">
        <f t="shared" si="46"/>
        <v>84</v>
      </c>
      <c r="AC94" s="24">
        <f t="shared" si="47"/>
        <v>7118.0029590692238</v>
      </c>
      <c r="AD94" s="24">
        <f t="shared" si="39"/>
        <v>40128.402797837443</v>
      </c>
      <c r="AE94" s="24">
        <f t="shared" si="48"/>
        <v>767.29839797495811</v>
      </c>
      <c r="AF94" s="24">
        <f t="shared" si="40"/>
        <v>6335.0285484616734</v>
      </c>
      <c r="AG94" s="1"/>
      <c r="AH94" s="25">
        <f t="shared" si="41"/>
        <v>5.8469142023041112</v>
      </c>
      <c r="AI94" s="1">
        <f t="shared" si="49"/>
        <v>0.93334387301199684</v>
      </c>
      <c r="AJ94" s="1">
        <f t="shared" si="50"/>
        <v>5.8469142023040837</v>
      </c>
      <c r="AK94" s="26">
        <f t="shared" si="51"/>
        <v>2.7533531010703882E-14</v>
      </c>
      <c r="AL94" s="1">
        <f t="shared" si="52"/>
        <v>0.87246429857470975</v>
      </c>
      <c r="AM94" s="1">
        <f t="shared" si="53"/>
        <v>1.3335132856753251E-3</v>
      </c>
      <c r="AN94" s="1">
        <f t="shared" si="54"/>
        <v>13.873872224166059</v>
      </c>
      <c r="AO94" s="1">
        <f t="shared" si="55"/>
        <v>3.7247647206455952</v>
      </c>
      <c r="AP94" s="1">
        <f t="shared" si="56"/>
        <v>0.6370479524357936</v>
      </c>
    </row>
    <row r="95" spans="1:42" x14ac:dyDescent="0.45">
      <c r="A95" s="16">
        <f t="shared" si="42"/>
        <v>85</v>
      </c>
      <c r="B95" s="17">
        <f t="shared" si="43"/>
        <v>33159.999983646776</v>
      </c>
      <c r="C95" s="18">
        <f t="shared" si="30"/>
        <v>4023.9999969635173</v>
      </c>
      <c r="D95" s="19">
        <v>0.1213510253</v>
      </c>
      <c r="E95" s="20">
        <f t="shared" si="31"/>
        <v>0.87864897470000003</v>
      </c>
      <c r="F95" s="21">
        <f t="shared" si="32"/>
        <v>0.12243667069605355</v>
      </c>
      <c r="G95" s="1"/>
      <c r="H95" s="22">
        <f t="shared" si="33"/>
        <v>188923.99991314136</v>
      </c>
      <c r="I95" s="19">
        <f t="shared" si="44"/>
        <v>4.6973462004315847</v>
      </c>
      <c r="J95" s="23">
        <f t="shared" si="45"/>
        <v>5.1973462004315847</v>
      </c>
      <c r="K95" s="1"/>
      <c r="L95" s="3">
        <f t="shared" si="34"/>
        <v>85</v>
      </c>
      <c r="M95" s="24">
        <f t="shared" si="35"/>
        <v>14352.14103494821</v>
      </c>
      <c r="N95" s="24">
        <f t="shared" si="36"/>
        <v>78930.077020544326</v>
      </c>
      <c r="O95" s="24">
        <f t="shared" si="37"/>
        <v>1724.572058960372</v>
      </c>
      <c r="P95" s="24">
        <f t="shared" si="38"/>
        <v>13578.316750433074</v>
      </c>
      <c r="Q95" s="1"/>
      <c r="R95" s="1">
        <f t="shared" si="27"/>
        <v>0.34727967734456522</v>
      </c>
      <c r="S95" s="1">
        <f t="shared" si="28"/>
        <v>0.63521367359559533</v>
      </c>
      <c r="T95" s="1">
        <f t="shared" si="29"/>
        <v>0.22059679961113432</v>
      </c>
      <c r="U95" s="1"/>
      <c r="V95" s="1"/>
      <c r="W95" s="1"/>
      <c r="X95" s="1"/>
      <c r="Y95" s="1"/>
      <c r="Z95" s="1"/>
      <c r="AA95" s="1"/>
      <c r="AB95" s="3">
        <f t="shared" si="46"/>
        <v>85</v>
      </c>
      <c r="AC95" s="24">
        <f t="shared" si="47"/>
        <v>6211.8200358452232</v>
      </c>
      <c r="AD95" s="24">
        <f t="shared" si="39"/>
        <v>33010.399838768222</v>
      </c>
      <c r="AE95" s="24">
        <f t="shared" si="48"/>
        <v>739.10258170752695</v>
      </c>
      <c r="AF95" s="24">
        <f t="shared" si="40"/>
        <v>5567.7301504867155</v>
      </c>
      <c r="AG95" s="1"/>
      <c r="AH95" s="25">
        <f t="shared" si="41"/>
        <v>5.4995332632493978</v>
      </c>
      <c r="AI95" s="1">
        <f t="shared" si="49"/>
        <v>0.93671584873568847</v>
      </c>
      <c r="AJ95" s="1">
        <f t="shared" si="50"/>
        <v>5.499533263249365</v>
      </c>
      <c r="AK95" s="26">
        <f t="shared" si="51"/>
        <v>3.2862601528904634E-14</v>
      </c>
      <c r="AL95" s="1">
        <f t="shared" si="52"/>
        <v>0.87865131945073671</v>
      </c>
      <c r="AM95" s="1">
        <f t="shared" si="53"/>
        <v>1.2147381781154598E-3</v>
      </c>
      <c r="AN95" s="1">
        <f t="shared" si="54"/>
        <v>12.638136005113221</v>
      </c>
      <c r="AO95" s="1">
        <f t="shared" si="55"/>
        <v>3.5550156124992225</v>
      </c>
      <c r="AP95" s="1">
        <f t="shared" si="56"/>
        <v>0.6464213311074225</v>
      </c>
    </row>
    <row r="96" spans="1:42" x14ac:dyDescent="0.45">
      <c r="A96" s="16">
        <f t="shared" si="42"/>
        <v>86</v>
      </c>
      <c r="B96" s="17">
        <f t="shared" si="43"/>
        <v>29135.999986683259</v>
      </c>
      <c r="C96" s="18">
        <f t="shared" si="30"/>
        <v>3906.9999976270883</v>
      </c>
      <c r="D96" s="19">
        <v>0.13409527730000001</v>
      </c>
      <c r="E96" s="20">
        <f t="shared" si="31"/>
        <v>0.86590472269999996</v>
      </c>
      <c r="F96" s="21">
        <f t="shared" si="32"/>
        <v>0.13610310266020567</v>
      </c>
      <c r="G96" s="1"/>
      <c r="H96" s="22">
        <f t="shared" si="33"/>
        <v>155763.9999294946</v>
      </c>
      <c r="I96" s="19">
        <f t="shared" si="44"/>
        <v>4.3461010434063443</v>
      </c>
      <c r="J96" s="23">
        <f t="shared" si="45"/>
        <v>4.8461010434063443</v>
      </c>
      <c r="K96" s="1"/>
      <c r="L96" s="3">
        <f t="shared" si="34"/>
        <v>86</v>
      </c>
      <c r="M96" s="24">
        <f t="shared" si="35"/>
        <v>12486.861710939329</v>
      </c>
      <c r="N96" s="24">
        <f t="shared" si="36"/>
        <v>64577.935985596123</v>
      </c>
      <c r="O96" s="24">
        <f t="shared" si="37"/>
        <v>1658.0132113456016</v>
      </c>
      <c r="P96" s="24">
        <f t="shared" si="38"/>
        <v>11853.744691472702</v>
      </c>
      <c r="Q96" s="1"/>
      <c r="R96" s="1">
        <f t="shared" si="27"/>
        <v>0.30513693243294909</v>
      </c>
      <c r="S96" s="1">
        <f t="shared" si="28"/>
        <v>0.62898608856034433</v>
      </c>
      <c r="T96" s="1">
        <f t="shared" si="29"/>
        <v>0.19192688560630272</v>
      </c>
      <c r="U96" s="1"/>
      <c r="V96" s="1"/>
      <c r="W96" s="1"/>
      <c r="X96" s="1"/>
      <c r="Y96" s="1"/>
      <c r="Z96" s="1"/>
      <c r="AA96" s="1"/>
      <c r="AB96" s="3">
        <f t="shared" si="46"/>
        <v>86</v>
      </c>
      <c r="AC96" s="24">
        <f t="shared" si="47"/>
        <v>5351.5141220272981</v>
      </c>
      <c r="AD96" s="24">
        <f t="shared" si="39"/>
        <v>26798.579802922999</v>
      </c>
      <c r="AE96" s="24">
        <f t="shared" si="48"/>
        <v>703.61090623653968</v>
      </c>
      <c r="AF96" s="24">
        <f t="shared" si="40"/>
        <v>4828.6275687791886</v>
      </c>
      <c r="AG96" s="1"/>
      <c r="AH96" s="25">
        <f t="shared" si="41"/>
        <v>5.1716706311419722</v>
      </c>
      <c r="AI96" s="1">
        <f t="shared" si="49"/>
        <v>0.93989836312228736</v>
      </c>
      <c r="AJ96" s="1">
        <f t="shared" si="50"/>
        <v>5.1716706311419456</v>
      </c>
      <c r="AK96" s="26">
        <f t="shared" si="51"/>
        <v>2.6645352591003757E-14</v>
      </c>
      <c r="AL96" s="1">
        <f t="shared" si="52"/>
        <v>0.8845131343759608</v>
      </c>
      <c r="AM96" s="1">
        <f t="shared" si="53"/>
        <v>1.1042013760056424E-3</v>
      </c>
      <c r="AN96" s="1">
        <f t="shared" si="54"/>
        <v>11.488111115962683</v>
      </c>
      <c r="AO96" s="1">
        <f t="shared" si="55"/>
        <v>3.3894116179600675</v>
      </c>
      <c r="AP96" s="1">
        <f t="shared" si="56"/>
        <v>0.65538040987185631</v>
      </c>
    </row>
    <row r="97" spans="1:42" x14ac:dyDescent="0.45">
      <c r="A97" s="16">
        <f t="shared" si="42"/>
        <v>87</v>
      </c>
      <c r="B97" s="17">
        <f t="shared" si="43"/>
        <v>25228.99998905617</v>
      </c>
      <c r="C97" s="18">
        <f t="shared" si="30"/>
        <v>3737.9999986050316</v>
      </c>
      <c r="D97" s="19">
        <v>0.14816282850000001</v>
      </c>
      <c r="E97" s="20">
        <f t="shared" si="31"/>
        <v>0.85183717149999993</v>
      </c>
      <c r="F97" s="21">
        <f t="shared" si="32"/>
        <v>0.15151214870879476</v>
      </c>
      <c r="G97" s="1"/>
      <c r="H97" s="22">
        <f t="shared" si="33"/>
        <v>126627.99994281134</v>
      </c>
      <c r="I97" s="19">
        <f t="shared" si="44"/>
        <v>4.0191446350525188</v>
      </c>
      <c r="J97" s="23">
        <f t="shared" si="45"/>
        <v>4.5191446350525188</v>
      </c>
      <c r="K97" s="1"/>
      <c r="L97" s="3">
        <f t="shared" si="34"/>
        <v>87</v>
      </c>
      <c r="M97" s="24">
        <f t="shared" si="35"/>
        <v>10706.42828674138</v>
      </c>
      <c r="N97" s="24">
        <f t="shared" si="36"/>
        <v>52091.074274656792</v>
      </c>
      <c r="O97" s="24">
        <f t="shared" si="37"/>
        <v>1570.7427892911494</v>
      </c>
      <c r="P97" s="24">
        <f t="shared" si="38"/>
        <v>10195.7314801271</v>
      </c>
      <c r="Q97" s="1"/>
      <c r="R97" s="1">
        <f t="shared" si="27"/>
        <v>0.2642195108638814</v>
      </c>
      <c r="S97" s="1">
        <f t="shared" si="28"/>
        <v>0.62281955828034108</v>
      </c>
      <c r="T97" s="1">
        <f t="shared" si="29"/>
        <v>0.16456107904529041</v>
      </c>
      <c r="U97" s="1"/>
      <c r="V97" s="1"/>
      <c r="W97" s="1"/>
      <c r="X97" s="1"/>
      <c r="Y97" s="1"/>
      <c r="Z97" s="1"/>
      <c r="AA97" s="1"/>
      <c r="AB97" s="3">
        <f t="shared" si="46"/>
        <v>87</v>
      </c>
      <c r="AC97" s="24">
        <f t="shared" si="47"/>
        <v>4543.4859371698876</v>
      </c>
      <c r="AD97" s="24">
        <f t="shared" si="39"/>
        <v>21447.065680895703</v>
      </c>
      <c r="AE97" s="24">
        <f t="shared" si="48"/>
        <v>660.0409071778696</v>
      </c>
      <c r="AF97" s="24">
        <f t="shared" si="40"/>
        <v>4125.0166625426491</v>
      </c>
      <c r="AG97" s="1"/>
      <c r="AH97" s="25">
        <f t="shared" si="41"/>
        <v>4.8654016894845595</v>
      </c>
      <c r="AI97" s="1">
        <f t="shared" si="49"/>
        <v>0.94287127072913468</v>
      </c>
      <c r="AJ97" s="1">
        <f t="shared" si="50"/>
        <v>4.8654016894845356</v>
      </c>
      <c r="AK97" s="26">
        <f t="shared" si="51"/>
        <v>2.3980817331903381E-14</v>
      </c>
      <c r="AL97" s="1">
        <f t="shared" si="52"/>
        <v>0.8900077152097674</v>
      </c>
      <c r="AM97" s="1">
        <f t="shared" si="53"/>
        <v>1.0014820433942306E-3</v>
      </c>
      <c r="AN97" s="1">
        <f t="shared" si="54"/>
        <v>10.419419179473557</v>
      </c>
      <c r="AO97" s="1">
        <f t="shared" si="55"/>
        <v>3.2279125111244196</v>
      </c>
      <c r="AP97" s="1">
        <f t="shared" si="56"/>
        <v>0.66344214047132144</v>
      </c>
    </row>
    <row r="98" spans="1:42" x14ac:dyDescent="0.45">
      <c r="A98" s="16">
        <f t="shared" si="42"/>
        <v>88</v>
      </c>
      <c r="B98" s="17">
        <f t="shared" si="43"/>
        <v>21490.999990451139</v>
      </c>
      <c r="C98" s="18">
        <f t="shared" si="30"/>
        <v>3511.9999978399501</v>
      </c>
      <c r="D98" s="19">
        <v>0.16341724439999999</v>
      </c>
      <c r="E98" s="20">
        <f t="shared" si="31"/>
        <v>0.83658275560000006</v>
      </c>
      <c r="F98" s="21">
        <f t="shared" si="32"/>
        <v>0.16867525940315237</v>
      </c>
      <c r="G98" s="1"/>
      <c r="H98" s="22">
        <f t="shared" si="33"/>
        <v>101398.99995375516</v>
      </c>
      <c r="I98" s="19">
        <f t="shared" si="44"/>
        <v>3.7182076217397366</v>
      </c>
      <c r="J98" s="23">
        <f t="shared" si="45"/>
        <v>4.2182076217397366</v>
      </c>
      <c r="K98" s="1"/>
      <c r="L98" s="3">
        <f t="shared" si="34"/>
        <v>88</v>
      </c>
      <c r="M98" s="24">
        <f t="shared" si="35"/>
        <v>9030.7205142468847</v>
      </c>
      <c r="N98" s="24">
        <f t="shared" si="36"/>
        <v>41384.645987915414</v>
      </c>
      <c r="O98" s="24">
        <f t="shared" si="37"/>
        <v>1461.3070745084551</v>
      </c>
      <c r="P98" s="24">
        <f t="shared" si="38"/>
        <v>8624.9886908359513</v>
      </c>
      <c r="Q98" s="1"/>
      <c r="R98" s="1">
        <f t="shared" si="27"/>
        <v>0.22507200078940226</v>
      </c>
      <c r="S98" s="1">
        <f t="shared" si="28"/>
        <v>0.61671348417955352</v>
      </c>
      <c r="T98" s="1">
        <f t="shared" si="29"/>
        <v>0.1388049377980955</v>
      </c>
      <c r="U98" s="1"/>
      <c r="V98" s="1"/>
      <c r="W98" s="1"/>
      <c r="X98" s="1"/>
      <c r="Y98" s="1"/>
      <c r="Z98" s="1"/>
      <c r="AA98" s="1"/>
      <c r="AB98" s="3">
        <f t="shared" si="46"/>
        <v>88</v>
      </c>
      <c r="AC98" s="24">
        <f t="shared" si="47"/>
        <v>3794.793776123749</v>
      </c>
      <c r="AD98" s="24">
        <f t="shared" si="39"/>
        <v>16903.579743725815</v>
      </c>
      <c r="AE98" s="24">
        <f t="shared" si="48"/>
        <v>608.03484263150483</v>
      </c>
      <c r="AF98" s="24">
        <f t="shared" si="40"/>
        <v>3464.9757553647792</v>
      </c>
      <c r="AG98" s="1"/>
      <c r="AH98" s="25">
        <f t="shared" si="41"/>
        <v>4.5826516192840767</v>
      </c>
      <c r="AI98" s="1">
        <f t="shared" si="49"/>
        <v>0.94561588410712438</v>
      </c>
      <c r="AJ98" s="1">
        <f t="shared" si="50"/>
        <v>4.5826516192840465</v>
      </c>
      <c r="AK98" s="26">
        <f t="shared" si="51"/>
        <v>3.0198066269804258E-14</v>
      </c>
      <c r="AL98" s="1">
        <f t="shared" si="52"/>
        <v>0.89509529230451856</v>
      </c>
      <c r="AM98" s="1">
        <f t="shared" si="53"/>
        <v>9.0589202882007669E-4</v>
      </c>
      <c r="AN98" s="1">
        <f t="shared" si="54"/>
        <v>9.4249006678440619</v>
      </c>
      <c r="AO98" s="1">
        <f t="shared" si="55"/>
        <v>3.0700001087693893</v>
      </c>
      <c r="AP98" s="1">
        <f t="shared" si="56"/>
        <v>0.66991784752972328</v>
      </c>
    </row>
    <row r="99" spans="1:42" x14ac:dyDescent="0.45">
      <c r="A99" s="16">
        <f t="shared" si="42"/>
        <v>89</v>
      </c>
      <c r="B99" s="17">
        <f t="shared" si="43"/>
        <v>17978.999992611189</v>
      </c>
      <c r="C99" s="18">
        <f t="shared" si="30"/>
        <v>3235.9999986366038</v>
      </c>
      <c r="D99" s="19">
        <v>0.17998776350000001</v>
      </c>
      <c r="E99" s="20">
        <f t="shared" si="31"/>
        <v>0.82001223649999999</v>
      </c>
      <c r="F99" s="21">
        <f t="shared" si="32"/>
        <v>0.18766338503948418</v>
      </c>
      <c r="G99" s="1"/>
      <c r="H99" s="22">
        <f t="shared" si="33"/>
        <v>79907.999963304028</v>
      </c>
      <c r="I99" s="19">
        <f t="shared" si="44"/>
        <v>3.4445186048247254</v>
      </c>
      <c r="J99" s="23">
        <f t="shared" si="45"/>
        <v>3.9445186048247254</v>
      </c>
      <c r="K99" s="1"/>
      <c r="L99" s="3">
        <f t="shared" si="34"/>
        <v>89</v>
      </c>
      <c r="M99" s="24">
        <f t="shared" si="35"/>
        <v>7480.8769641085592</v>
      </c>
      <c r="N99" s="24">
        <f t="shared" si="36"/>
        <v>32353.925473668529</v>
      </c>
      <c r="O99" s="24">
        <f t="shared" si="37"/>
        <v>1333.265663653387</v>
      </c>
      <c r="P99" s="24">
        <f t="shared" si="38"/>
        <v>7163.6816163274962</v>
      </c>
      <c r="Q99" s="1"/>
      <c r="R99" s="1">
        <f t="shared" si="27"/>
        <v>0.18829135462880353</v>
      </c>
      <c r="S99" s="1">
        <f t="shared" si="28"/>
        <v>0.61066727355034212</v>
      </c>
      <c r="T99" s="1">
        <f t="shared" si="29"/>
        <v>0.11498336816427204</v>
      </c>
      <c r="U99" s="1"/>
      <c r="V99" s="1"/>
      <c r="W99" s="1"/>
      <c r="X99" s="1"/>
      <c r="Y99" s="1"/>
      <c r="Z99" s="1"/>
      <c r="AA99" s="1"/>
      <c r="AB99" s="3">
        <f t="shared" si="46"/>
        <v>89</v>
      </c>
      <c r="AC99" s="24">
        <f t="shared" si="47"/>
        <v>3112.7159561226631</v>
      </c>
      <c r="AD99" s="24">
        <f t="shared" si="39"/>
        <v>13108.785967602065</v>
      </c>
      <c r="AE99" s="24">
        <f t="shared" si="48"/>
        <v>549.31932343202925</v>
      </c>
      <c r="AF99" s="24">
        <f t="shared" si="40"/>
        <v>2856.9409127332742</v>
      </c>
      <c r="AG99" s="1"/>
      <c r="AH99" s="25">
        <f t="shared" si="41"/>
        <v>4.3248840515483478</v>
      </c>
      <c r="AI99" s="1">
        <f t="shared" si="49"/>
        <v>0.94811799600516078</v>
      </c>
      <c r="AJ99" s="1">
        <f t="shared" si="50"/>
        <v>4.3248840515483336</v>
      </c>
      <c r="AK99" s="26">
        <f t="shared" si="51"/>
        <v>1.4210854715202004E-14</v>
      </c>
      <c r="AL99" s="1">
        <f t="shared" si="52"/>
        <v>0.89974412365914769</v>
      </c>
      <c r="AM99" s="1">
        <f t="shared" si="53"/>
        <v>8.1638931030558748E-4</v>
      </c>
      <c r="AN99" s="1">
        <f t="shared" si="54"/>
        <v>8.4937143844193184</v>
      </c>
      <c r="AO99" s="1">
        <f t="shared" si="55"/>
        <v>2.9143977738838807</v>
      </c>
      <c r="AP99" s="1">
        <f t="shared" si="56"/>
        <v>0.67386726190740298</v>
      </c>
    </row>
    <row r="100" spans="1:42" x14ac:dyDescent="0.45">
      <c r="A100" s="16">
        <f t="shared" si="42"/>
        <v>90</v>
      </c>
      <c r="B100" s="17">
        <f t="shared" si="43"/>
        <v>14742.999993974585</v>
      </c>
      <c r="C100" s="18">
        <f t="shared" si="30"/>
        <v>2890.9999986157582</v>
      </c>
      <c r="D100" s="19">
        <v>0.19609306109999999</v>
      </c>
      <c r="E100" s="20">
        <f t="shared" si="31"/>
        <v>0.80390693889999998</v>
      </c>
      <c r="F100" s="21">
        <f t="shared" si="32"/>
        <v>0.20779352912420967</v>
      </c>
      <c r="G100" s="1"/>
      <c r="H100" s="22">
        <f t="shared" si="33"/>
        <v>61928.999970692836</v>
      </c>
      <c r="I100" s="19">
        <f t="shared" si="44"/>
        <v>3.2005697616498008</v>
      </c>
      <c r="J100" s="23">
        <f t="shared" si="45"/>
        <v>3.7005697616498008</v>
      </c>
      <c r="K100" s="1"/>
      <c r="L100" s="3">
        <f t="shared" si="34"/>
        <v>90</v>
      </c>
      <c r="M100" s="24">
        <f t="shared" si="35"/>
        <v>6074.2693694345007</v>
      </c>
      <c r="N100" s="24">
        <f t="shared" si="36"/>
        <v>24873.048509559969</v>
      </c>
      <c r="O100" s="24">
        <f t="shared" si="37"/>
        <v>1179.4444072003546</v>
      </c>
      <c r="P100" s="24">
        <f t="shared" si="38"/>
        <v>5830.4159526741087</v>
      </c>
      <c r="Q100" s="1"/>
      <c r="R100" s="1">
        <f t="shared" si="27"/>
        <v>0.1544012148227798</v>
      </c>
      <c r="S100" s="1">
        <f t="shared" si="28"/>
        <v>0.60468033949592692</v>
      </c>
      <c r="T100" s="1">
        <f t="shared" si="29"/>
        <v>9.3363378997622037E-2</v>
      </c>
      <c r="U100" s="1"/>
      <c r="V100" s="1"/>
      <c r="W100" s="1"/>
      <c r="X100" s="1"/>
      <c r="Y100" s="1"/>
      <c r="Z100" s="1"/>
      <c r="AA100" s="1"/>
      <c r="AB100" s="3">
        <f t="shared" si="46"/>
        <v>90</v>
      </c>
      <c r="AC100" s="24">
        <f t="shared" si="47"/>
        <v>2502.6621710323393</v>
      </c>
      <c r="AD100" s="24">
        <f t="shared" si="39"/>
        <v>9996.0700114794017</v>
      </c>
      <c r="AE100" s="24">
        <f t="shared" si="48"/>
        <v>481.17921492295557</v>
      </c>
      <c r="AF100" s="24">
        <f t="shared" si="40"/>
        <v>2307.621589301245</v>
      </c>
      <c r="AG100" s="1"/>
      <c r="AH100" s="25">
        <f t="shared" si="41"/>
        <v>4.0948214504151279</v>
      </c>
      <c r="AI100" s="1">
        <f t="shared" si="49"/>
        <v>0.95035117986395712</v>
      </c>
      <c r="AJ100" s="1">
        <f t="shared" si="50"/>
        <v>4.0948214504151288</v>
      </c>
      <c r="AK100" s="26">
        <f t="shared" si="51"/>
        <v>8.8817841970012523E-16</v>
      </c>
      <c r="AL100" s="1">
        <f t="shared" si="52"/>
        <v>0.90389839815455419</v>
      </c>
      <c r="AM100" s="1">
        <f t="shared" si="53"/>
        <v>7.3103308573885251E-4</v>
      </c>
      <c r="AN100" s="1">
        <f t="shared" si="54"/>
        <v>7.6056682240270082</v>
      </c>
      <c r="AO100" s="1">
        <f t="shared" si="55"/>
        <v>2.7578375992844482</v>
      </c>
      <c r="AP100" s="1">
        <f t="shared" si="56"/>
        <v>0.6734939807949043</v>
      </c>
    </row>
    <row r="101" spans="1:42" x14ac:dyDescent="0.45">
      <c r="A101" s="16">
        <f t="shared" si="42"/>
        <v>91</v>
      </c>
      <c r="B101" s="17">
        <f t="shared" si="43"/>
        <v>11851.999995358827</v>
      </c>
      <c r="C101" s="18">
        <f t="shared" si="30"/>
        <v>2489.9999994877307</v>
      </c>
      <c r="D101" s="19">
        <v>0.21009112390000001</v>
      </c>
      <c r="E101" s="20">
        <f t="shared" si="31"/>
        <v>0.78990887609999993</v>
      </c>
      <c r="F101" s="21">
        <f t="shared" si="32"/>
        <v>0.22700809990763823</v>
      </c>
      <c r="G101" s="1"/>
      <c r="H101" s="22">
        <f t="shared" si="33"/>
        <v>47185.999976718253</v>
      </c>
      <c r="I101" s="19">
        <f t="shared" si="44"/>
        <v>2.9812689837323667</v>
      </c>
      <c r="J101" s="23">
        <f t="shared" si="45"/>
        <v>3.4812689837323667</v>
      </c>
      <c r="K101" s="1"/>
      <c r="L101" s="3">
        <f t="shared" si="34"/>
        <v>91</v>
      </c>
      <c r="M101" s="24">
        <f t="shared" si="35"/>
        <v>4835.2733017494929</v>
      </c>
      <c r="N101" s="24">
        <f t="shared" si="36"/>
        <v>18798.779140125469</v>
      </c>
      <c r="O101" s="24">
        <f t="shared" si="37"/>
        <v>1005.8887081877424</v>
      </c>
      <c r="P101" s="24">
        <f t="shared" si="38"/>
        <v>4650.9715454737543</v>
      </c>
      <c r="Q101" s="1"/>
      <c r="R101" s="1">
        <f t="shared" si="27"/>
        <v>0.12412420797062222</v>
      </c>
      <c r="S101" s="1">
        <f t="shared" si="28"/>
        <v>0.5987521008734179</v>
      </c>
      <c r="T101" s="1">
        <f t="shared" si="29"/>
        <v>7.4319630291659097E-2</v>
      </c>
      <c r="U101" s="1"/>
      <c r="V101" s="1"/>
      <c r="W101" s="1"/>
      <c r="X101" s="1"/>
      <c r="Y101" s="1"/>
      <c r="Z101" s="1"/>
      <c r="AA101" s="1"/>
      <c r="AB101" s="3">
        <f t="shared" si="46"/>
        <v>91</v>
      </c>
      <c r="AC101" s="24">
        <f t="shared" si="47"/>
        <v>1972.6516969091178</v>
      </c>
      <c r="AD101" s="24">
        <f t="shared" si="39"/>
        <v>7493.4078404470629</v>
      </c>
      <c r="AE101" s="24">
        <f t="shared" si="48"/>
        <v>406.3502383404682</v>
      </c>
      <c r="AF101" s="24">
        <f t="shared" si="40"/>
        <v>1826.4423743782895</v>
      </c>
      <c r="AG101" s="1"/>
      <c r="AH101" s="25">
        <f t="shared" si="41"/>
        <v>3.8878421067375273</v>
      </c>
      <c r="AI101" s="1">
        <f t="shared" si="49"/>
        <v>0.95236029793498833</v>
      </c>
      <c r="AJ101" s="1">
        <f t="shared" si="50"/>
        <v>3.8878421067375029</v>
      </c>
      <c r="AK101" s="26">
        <f t="shared" si="51"/>
        <v>2.4424906541753444E-14</v>
      </c>
      <c r="AL101" s="1">
        <f t="shared" si="52"/>
        <v>0.90763830577787075</v>
      </c>
      <c r="AM101" s="1">
        <f t="shared" si="53"/>
        <v>6.4816869505102126E-4</v>
      </c>
      <c r="AN101" s="1">
        <f t="shared" si="54"/>
        <v>6.7435471033108136</v>
      </c>
      <c r="AO101" s="1">
        <f t="shared" si="55"/>
        <v>2.5968340538645927</v>
      </c>
      <c r="AP101" s="1">
        <f t="shared" si="56"/>
        <v>0.66793711847617165</v>
      </c>
    </row>
    <row r="102" spans="1:42" x14ac:dyDescent="0.45">
      <c r="A102" s="16">
        <f t="shared" si="42"/>
        <v>92</v>
      </c>
      <c r="B102" s="17">
        <f t="shared" si="43"/>
        <v>9361.999995871096</v>
      </c>
      <c r="C102" s="18">
        <f t="shared" si="30"/>
        <v>2081.9999995349799</v>
      </c>
      <c r="D102" s="19">
        <v>0.22238837859999999</v>
      </c>
      <c r="E102" s="20">
        <f t="shared" si="31"/>
        <v>0.77761162139999995</v>
      </c>
      <c r="F102" s="21">
        <f t="shared" si="32"/>
        <v>0.24417859437294864</v>
      </c>
      <c r="G102" s="1"/>
      <c r="H102" s="22">
        <f t="shared" si="33"/>
        <v>35333.999981359426</v>
      </c>
      <c r="I102" s="19">
        <f t="shared" si="44"/>
        <v>2.7741935480605329</v>
      </c>
      <c r="J102" s="23">
        <f t="shared" si="45"/>
        <v>3.2741935480605329</v>
      </c>
      <c r="K102" s="1"/>
      <c r="L102" s="3">
        <f t="shared" si="34"/>
        <v>92</v>
      </c>
      <c r="M102" s="24">
        <f t="shared" si="35"/>
        <v>3781.9799533485211</v>
      </c>
      <c r="N102" s="24">
        <f t="shared" si="36"/>
        <v>13963.505838375975</v>
      </c>
      <c r="O102" s="24">
        <f t="shared" si="37"/>
        <v>832.82262119618645</v>
      </c>
      <c r="P102" s="24">
        <f t="shared" si="38"/>
        <v>3645.0828372860124</v>
      </c>
      <c r="Q102" s="1"/>
      <c r="R102" s="1">
        <f t="shared" si="27"/>
        <v>9.8046813614876854E-2</v>
      </c>
      <c r="S102" s="1">
        <f t="shared" si="28"/>
        <v>0.59288198223740418</v>
      </c>
      <c r="T102" s="1">
        <f t="shared" si="29"/>
        <v>5.81301892080495E-2</v>
      </c>
      <c r="U102" s="1"/>
      <c r="V102" s="1"/>
      <c r="W102" s="1"/>
      <c r="X102" s="1"/>
      <c r="Y102" s="1"/>
      <c r="Z102" s="1"/>
      <c r="AA102" s="1"/>
      <c r="AB102" s="3">
        <f t="shared" si="46"/>
        <v>92</v>
      </c>
      <c r="AC102" s="24">
        <f t="shared" si="47"/>
        <v>1527.8116186539489</v>
      </c>
      <c r="AD102" s="24">
        <f t="shared" si="39"/>
        <v>5520.7561435379448</v>
      </c>
      <c r="AE102" s="24">
        <f t="shared" si="48"/>
        <v>333.13809727713868</v>
      </c>
      <c r="AF102" s="24">
        <f t="shared" si="40"/>
        <v>1420.0921360378213</v>
      </c>
      <c r="AG102" s="1"/>
      <c r="AH102" s="25">
        <f t="shared" si="41"/>
        <v>3.6921152440305374</v>
      </c>
      <c r="AI102" s="1">
        <f t="shared" si="49"/>
        <v>0.95426018982692173</v>
      </c>
      <c r="AJ102" s="1">
        <f t="shared" si="50"/>
        <v>3.6921152440305138</v>
      </c>
      <c r="AK102" s="26">
        <f t="shared" si="51"/>
        <v>2.3536728122053319E-14</v>
      </c>
      <c r="AL102" s="1">
        <f t="shared" si="52"/>
        <v>0.91117955496254577</v>
      </c>
      <c r="AM102" s="1">
        <f t="shared" si="53"/>
        <v>5.6704507403304572E-4</v>
      </c>
      <c r="AN102" s="1">
        <f t="shared" si="54"/>
        <v>5.8995369502397974</v>
      </c>
      <c r="AO102" s="1">
        <f t="shared" si="55"/>
        <v>2.4288962411432475</v>
      </c>
      <c r="AP102" s="1">
        <f t="shared" si="56"/>
        <v>0.65786035391780373</v>
      </c>
    </row>
    <row r="103" spans="1:42" x14ac:dyDescent="0.45">
      <c r="A103" s="16">
        <f t="shared" si="42"/>
        <v>93</v>
      </c>
      <c r="B103" s="17">
        <f t="shared" si="43"/>
        <v>7279.9999963361161</v>
      </c>
      <c r="C103" s="18">
        <f t="shared" si="30"/>
        <v>1708.9999994838927</v>
      </c>
      <c r="D103" s="19">
        <v>0.23475274730000001</v>
      </c>
      <c r="E103" s="20">
        <f t="shared" si="31"/>
        <v>0.76524725270000005</v>
      </c>
      <c r="F103" s="21">
        <f t="shared" si="32"/>
        <v>0.26037087918453367</v>
      </c>
      <c r="G103" s="1"/>
      <c r="H103" s="22">
        <f t="shared" si="33"/>
        <v>25971.999985488332</v>
      </c>
      <c r="I103" s="19">
        <f t="shared" si="44"/>
        <v>2.5675824173845521</v>
      </c>
      <c r="J103" s="23">
        <f t="shared" si="45"/>
        <v>3.0675824173845521</v>
      </c>
      <c r="K103" s="1"/>
      <c r="L103" s="3">
        <f t="shared" si="34"/>
        <v>93</v>
      </c>
      <c r="M103" s="24">
        <f t="shared" si="35"/>
        <v>2912.0790973155845</v>
      </c>
      <c r="N103" s="24">
        <f t="shared" si="36"/>
        <v>10181.525885027455</v>
      </c>
      <c r="O103" s="24">
        <f t="shared" si="37"/>
        <v>676.91642562179879</v>
      </c>
      <c r="P103" s="24">
        <f t="shared" si="38"/>
        <v>2812.2602160898259</v>
      </c>
      <c r="Q103" s="1"/>
      <c r="R103" s="1">
        <f t="shared" si="27"/>
        <v>7.6242341708167988E-2</v>
      </c>
      <c r="S103" s="1">
        <f t="shared" si="28"/>
        <v>0.58706941378409638</v>
      </c>
      <c r="T103" s="1">
        <f t="shared" si="29"/>
        <v>4.4759546852140945E-2</v>
      </c>
      <c r="U103" s="1"/>
      <c r="V103" s="1"/>
      <c r="W103" s="1"/>
      <c r="X103" s="1"/>
      <c r="Y103" s="1"/>
      <c r="Z103" s="1"/>
      <c r="AA103" s="1"/>
      <c r="AB103" s="3">
        <f t="shared" si="46"/>
        <v>93</v>
      </c>
      <c r="AC103" s="24">
        <f t="shared" si="47"/>
        <v>1164.8632792981148</v>
      </c>
      <c r="AD103" s="24">
        <f t="shared" si="39"/>
        <v>3992.9445248839961</v>
      </c>
      <c r="AE103" s="24">
        <f t="shared" si="48"/>
        <v>268.11927876826837</v>
      </c>
      <c r="AF103" s="24">
        <f t="shared" si="40"/>
        <v>1086.9540387606826</v>
      </c>
      <c r="AG103" s="1"/>
      <c r="AH103" s="25">
        <f t="shared" si="41"/>
        <v>3.4963081512493939</v>
      </c>
      <c r="AI103" s="1">
        <f t="shared" si="49"/>
        <v>0.95616086050039439</v>
      </c>
      <c r="AJ103" s="1">
        <f t="shared" si="50"/>
        <v>3.4963081512493619</v>
      </c>
      <c r="AK103" s="26">
        <f t="shared" si="51"/>
        <v>3.1974423109204508E-14</v>
      </c>
      <c r="AL103" s="1">
        <f t="shared" si="52"/>
        <v>0.914731169760996</v>
      </c>
      <c r="AM103" s="1">
        <f t="shared" si="53"/>
        <v>4.875786081413036E-4</v>
      </c>
      <c r="AN103" s="1">
        <f t="shared" si="54"/>
        <v>5.0727678391021138</v>
      </c>
      <c r="AO103" s="1">
        <f t="shared" si="55"/>
        <v>2.2522805862285709</v>
      </c>
      <c r="AP103" s="1">
        <f t="shared" si="56"/>
        <v>0.64418823764825361</v>
      </c>
    </row>
    <row r="104" spans="1:42" x14ac:dyDescent="0.45">
      <c r="A104" s="16">
        <f t="shared" si="42"/>
        <v>94</v>
      </c>
      <c r="B104" s="17">
        <f t="shared" si="43"/>
        <v>5570.9999968522234</v>
      </c>
      <c r="C104" s="18">
        <f t="shared" si="30"/>
        <v>1380.9999992210951</v>
      </c>
      <c r="D104" s="19">
        <v>0.24789086339999999</v>
      </c>
      <c r="E104" s="20">
        <f t="shared" si="31"/>
        <v>0.75210913660000001</v>
      </c>
      <c r="F104" s="21">
        <f t="shared" si="32"/>
        <v>0.27732902535011017</v>
      </c>
      <c r="G104" s="1"/>
      <c r="H104" s="22">
        <f t="shared" si="33"/>
        <v>18691.999989152217</v>
      </c>
      <c r="I104" s="19">
        <f t="shared" si="44"/>
        <v>2.3552324537271114</v>
      </c>
      <c r="J104" s="23">
        <f t="shared" si="45"/>
        <v>2.8552324537271114</v>
      </c>
      <c r="K104" s="1"/>
      <c r="L104" s="3">
        <f t="shared" si="34"/>
        <v>94</v>
      </c>
      <c r="M104" s="24">
        <f t="shared" si="35"/>
        <v>2206.6128766220645</v>
      </c>
      <c r="N104" s="24">
        <f t="shared" si="36"/>
        <v>7269.4467877118695</v>
      </c>
      <c r="O104" s="24">
        <f t="shared" si="37"/>
        <v>541.63643420309359</v>
      </c>
      <c r="P104" s="24">
        <f t="shared" si="38"/>
        <v>2135.3437904680272</v>
      </c>
      <c r="Q104" s="1"/>
      <c r="R104" s="1">
        <f t="shared" si="27"/>
        <v>5.8344242531590186E-2</v>
      </c>
      <c r="S104" s="1">
        <f t="shared" si="28"/>
        <v>0.58131383129601677</v>
      </c>
      <c r="T104" s="1">
        <f t="shared" si="29"/>
        <v>3.3916315160102704E-2</v>
      </c>
      <c r="U104" s="1"/>
      <c r="V104" s="1"/>
      <c r="W104" s="1"/>
      <c r="X104" s="1"/>
      <c r="Y104" s="1"/>
      <c r="Z104" s="1"/>
      <c r="AA104" s="1"/>
      <c r="AB104" s="3">
        <f t="shared" si="46"/>
        <v>94</v>
      </c>
      <c r="AC104" s="24">
        <f t="shared" si="47"/>
        <v>874.01550709486787</v>
      </c>
      <c r="AD104" s="24">
        <f t="shared" si="39"/>
        <v>2828.0812455858813</v>
      </c>
      <c r="AE104" s="24">
        <f t="shared" si="48"/>
        <v>212.43303911781842</v>
      </c>
      <c r="AF104" s="24">
        <f t="shared" si="40"/>
        <v>818.83475999241409</v>
      </c>
      <c r="AG104" s="1"/>
      <c r="AH104" s="25">
        <f t="shared" si="41"/>
        <v>3.2943915376946915</v>
      </c>
      <c r="AI104" s="1">
        <f t="shared" si="49"/>
        <v>0.95812083539415005</v>
      </c>
      <c r="AJ104" s="1">
        <f t="shared" si="50"/>
        <v>3.2943915376946595</v>
      </c>
      <c r="AK104" s="26">
        <f t="shared" si="51"/>
        <v>3.1974423109204508E-14</v>
      </c>
      <c r="AL104" s="1">
        <f t="shared" si="52"/>
        <v>0.91840530725331926</v>
      </c>
      <c r="AM104" s="1">
        <f t="shared" si="53"/>
        <v>4.097720369352631E-4</v>
      </c>
      <c r="AN104" s="1">
        <f t="shared" si="54"/>
        <v>4.2632682722744697</v>
      </c>
      <c r="AO104" s="1">
        <f t="shared" si="55"/>
        <v>2.0647683338027223</v>
      </c>
      <c r="AP104" s="1">
        <f t="shared" si="56"/>
        <v>0.62675256118693778</v>
      </c>
    </row>
    <row r="105" spans="1:42" x14ac:dyDescent="0.45">
      <c r="A105" s="16">
        <f t="shared" si="42"/>
        <v>95</v>
      </c>
      <c r="B105" s="17">
        <f t="shared" si="43"/>
        <v>4189.9999976311283</v>
      </c>
      <c r="C105" s="18">
        <f t="shared" si="30"/>
        <v>1097.9999995192316</v>
      </c>
      <c r="D105" s="19">
        <v>0.26205250600000002</v>
      </c>
      <c r="E105" s="20">
        <f t="shared" si="31"/>
        <v>0.73794749399999993</v>
      </c>
      <c r="F105" s="21">
        <f t="shared" si="32"/>
        <v>0.29582338903840832</v>
      </c>
      <c r="G105" s="1"/>
      <c r="H105" s="22">
        <f t="shared" si="33"/>
        <v>13120.999992299992</v>
      </c>
      <c r="I105" s="19">
        <f t="shared" si="44"/>
        <v>2.1315035798849933</v>
      </c>
      <c r="J105" s="23">
        <f t="shared" si="45"/>
        <v>2.6315035798849933</v>
      </c>
      <c r="K105" s="1"/>
      <c r="L105" s="3">
        <f t="shared" si="34"/>
        <v>95</v>
      </c>
      <c r="M105" s="24">
        <f t="shared" si="35"/>
        <v>1643.3429828442452</v>
      </c>
      <c r="N105" s="24">
        <f t="shared" si="36"/>
        <v>5062.833911089805</v>
      </c>
      <c r="O105" s="24">
        <f t="shared" si="37"/>
        <v>426.42016503977266</v>
      </c>
      <c r="P105" s="24">
        <f t="shared" si="38"/>
        <v>1593.7073562649337</v>
      </c>
      <c r="Q105" s="1"/>
      <c r="R105" s="1">
        <f t="shared" si="27"/>
        <v>4.3881237876015292E-2</v>
      </c>
      <c r="S105" s="1">
        <f t="shared" si="28"/>
        <v>0.57561467608723227</v>
      </c>
      <c r="T105" s="1">
        <f t="shared" si="29"/>
        <v>2.5258684526309329E-2</v>
      </c>
      <c r="U105" s="1"/>
      <c r="V105" s="1"/>
      <c r="W105" s="1"/>
      <c r="X105" s="1"/>
      <c r="Y105" s="1"/>
      <c r="Z105" s="1"/>
      <c r="AA105" s="1"/>
      <c r="AB105" s="3">
        <f t="shared" si="46"/>
        <v>95</v>
      </c>
      <c r="AC105" s="24">
        <f t="shared" si="47"/>
        <v>644.5289166563789</v>
      </c>
      <c r="AD105" s="24">
        <f t="shared" si="39"/>
        <v>1954.0657384910137</v>
      </c>
      <c r="AE105" s="24">
        <f t="shared" si="48"/>
        <v>165.60487908211707</v>
      </c>
      <c r="AF105" s="24">
        <f t="shared" si="40"/>
        <v>606.40172087459564</v>
      </c>
      <c r="AG105" s="1"/>
      <c r="AH105" s="25">
        <f t="shared" si="41"/>
        <v>3.0808139043057312</v>
      </c>
      <c r="AI105" s="1">
        <f t="shared" si="49"/>
        <v>0.96019400209371275</v>
      </c>
      <c r="AJ105" s="1">
        <f t="shared" si="50"/>
        <v>3.080813904305705</v>
      </c>
      <c r="AK105" s="26">
        <f t="shared" si="51"/>
        <v>2.6201263381153694E-14</v>
      </c>
      <c r="AL105" s="1">
        <f t="shared" si="52"/>
        <v>0.92230650319114926</v>
      </c>
      <c r="AM105" s="1">
        <f t="shared" si="53"/>
        <v>3.3398153440844514E-4</v>
      </c>
      <c r="AN105" s="1">
        <f t="shared" si="54"/>
        <v>3.4747438839854574</v>
      </c>
      <c r="AO105" s="1">
        <f t="shared" si="55"/>
        <v>1.864066491299454</v>
      </c>
      <c r="AP105" s="1">
        <f t="shared" si="56"/>
        <v>0.60505650428746871</v>
      </c>
    </row>
    <row r="106" spans="1:42" x14ac:dyDescent="0.45">
      <c r="A106" s="16">
        <f t="shared" si="42"/>
        <v>96</v>
      </c>
      <c r="B106" s="17">
        <f t="shared" si="43"/>
        <v>3091.9999981118967</v>
      </c>
      <c r="C106" s="18">
        <f t="shared" si="30"/>
        <v>853.99999953651195</v>
      </c>
      <c r="D106" s="19">
        <v>0.27619663649999998</v>
      </c>
      <c r="E106" s="20">
        <f t="shared" si="31"/>
        <v>0.72380336350000007</v>
      </c>
      <c r="F106" s="21">
        <f t="shared" si="32"/>
        <v>0.31565329887576254</v>
      </c>
      <c r="G106" s="1"/>
      <c r="H106" s="22">
        <f t="shared" si="33"/>
        <v>8930.999994668864</v>
      </c>
      <c r="I106" s="19">
        <f t="shared" si="44"/>
        <v>1.8884217335454405</v>
      </c>
      <c r="J106" s="23">
        <f t="shared" si="45"/>
        <v>2.3884217335454405</v>
      </c>
      <c r="K106" s="1"/>
      <c r="L106" s="3">
        <f t="shared" si="34"/>
        <v>96</v>
      </c>
      <c r="M106" s="24">
        <f t="shared" si="35"/>
        <v>1200.8116120903135</v>
      </c>
      <c r="N106" s="24">
        <f t="shared" si="36"/>
        <v>3419.4909282455601</v>
      </c>
      <c r="O106" s="24">
        <f t="shared" si="37"/>
        <v>328.40855844390404</v>
      </c>
      <c r="P106" s="24">
        <f t="shared" si="38"/>
        <v>1167.287191225161</v>
      </c>
      <c r="Q106" s="1"/>
      <c r="R106" s="1">
        <f t="shared" si="27"/>
        <v>3.2382049524223362E-2</v>
      </c>
      <c r="S106" s="1">
        <f t="shared" si="28"/>
        <v>0.5699713949491223</v>
      </c>
      <c r="T106" s="1">
        <f t="shared" si="29"/>
        <v>1.8456841938633152E-2</v>
      </c>
      <c r="U106" s="1"/>
      <c r="V106" s="1"/>
      <c r="W106" s="1"/>
      <c r="X106" s="1"/>
      <c r="Y106" s="1"/>
      <c r="Z106" s="1"/>
      <c r="AA106" s="1"/>
      <c r="AB106" s="3">
        <f t="shared" si="46"/>
        <v>96</v>
      </c>
      <c r="AC106" s="24">
        <f t="shared" si="47"/>
        <v>466.34816578636821</v>
      </c>
      <c r="AD106" s="24">
        <f t="shared" si="39"/>
        <v>1309.5368218346348</v>
      </c>
      <c r="AE106" s="24">
        <f t="shared" si="48"/>
        <v>126.29061044231534</v>
      </c>
      <c r="AF106" s="24">
        <f t="shared" si="40"/>
        <v>440.79684179247852</v>
      </c>
      <c r="AG106" s="1"/>
      <c r="AH106" s="25">
        <f t="shared" si="41"/>
        <v>2.8476497843763182</v>
      </c>
      <c r="AI106" s="1">
        <f t="shared" si="49"/>
        <v>0.96245729193965923</v>
      </c>
      <c r="AJ106" s="1">
        <f t="shared" si="50"/>
        <v>2.8476497843763071</v>
      </c>
      <c r="AK106" s="26">
        <f t="shared" si="51"/>
        <v>1.1102230246251565E-14</v>
      </c>
      <c r="AL106" s="1">
        <f t="shared" si="52"/>
        <v>0.92658540185652261</v>
      </c>
      <c r="AM106" s="1">
        <f t="shared" si="53"/>
        <v>2.6136304870016946E-4</v>
      </c>
      <c r="AN106" s="1">
        <f t="shared" si="54"/>
        <v>2.7192211586765582</v>
      </c>
      <c r="AO106" s="1">
        <f t="shared" si="55"/>
        <v>1.6490061123830191</v>
      </c>
      <c r="AP106" s="1">
        <f t="shared" si="56"/>
        <v>0.57907616358946978</v>
      </c>
    </row>
    <row r="107" spans="1:42" x14ac:dyDescent="0.45">
      <c r="A107" s="16">
        <f t="shared" si="42"/>
        <v>97</v>
      </c>
      <c r="B107" s="17">
        <f t="shared" si="43"/>
        <v>2237.9999985753848</v>
      </c>
      <c r="C107" s="18">
        <f t="shared" si="30"/>
        <v>652.99999947732817</v>
      </c>
      <c r="D107" s="19">
        <v>0.29177837350000002</v>
      </c>
      <c r="E107" s="20">
        <f t="shared" si="31"/>
        <v>0.70822162649999998</v>
      </c>
      <c r="F107" s="21">
        <f t="shared" si="32"/>
        <v>0.33668453976164697</v>
      </c>
      <c r="G107" s="1"/>
      <c r="H107" s="22">
        <f t="shared" si="33"/>
        <v>5838.9999965569668</v>
      </c>
      <c r="I107" s="19">
        <f t="shared" si="44"/>
        <v>1.6090259161187779</v>
      </c>
      <c r="J107" s="23">
        <f t="shared" si="45"/>
        <v>2.1090259161187781</v>
      </c>
      <c r="K107" s="1"/>
      <c r="L107" s="3">
        <f t="shared" si="34"/>
        <v>97</v>
      </c>
      <c r="M107" s="24">
        <f t="shared" si="35"/>
        <v>860.63039078277905</v>
      </c>
      <c r="N107" s="24">
        <f t="shared" si="36"/>
        <v>2218.6793161552464</v>
      </c>
      <c r="O107" s="24">
        <f t="shared" si="37"/>
        <v>248.65144016013861</v>
      </c>
      <c r="P107" s="24">
        <f t="shared" si="38"/>
        <v>838.87863278125701</v>
      </c>
      <c r="Q107" s="1"/>
      <c r="R107" s="1">
        <f t="shared" si="27"/>
        <v>2.3438236362656448E-2</v>
      </c>
      <c r="S107" s="1">
        <f t="shared" si="28"/>
        <v>0.56438344009667984</v>
      </c>
      <c r="T107" s="1">
        <f t="shared" si="29"/>
        <v>1.3228152468155138E-2</v>
      </c>
      <c r="U107" s="1"/>
      <c r="V107" s="1"/>
      <c r="W107" s="1"/>
      <c r="X107" s="1"/>
      <c r="Y107" s="1"/>
      <c r="Z107" s="1"/>
      <c r="AA107" s="1"/>
      <c r="AB107" s="3">
        <f t="shared" si="46"/>
        <v>97</v>
      </c>
      <c r="AC107" s="24">
        <f t="shared" si="47"/>
        <v>330.9582975917815</v>
      </c>
      <c r="AD107" s="24">
        <f t="shared" si="39"/>
        <v>843.18865604826669</v>
      </c>
      <c r="AE107" s="24">
        <f t="shared" si="48"/>
        <v>94.682295165694867</v>
      </c>
      <c r="AF107" s="24">
        <f t="shared" si="40"/>
        <v>314.50623135016315</v>
      </c>
      <c r="AG107" s="1"/>
      <c r="AH107" s="25">
        <f t="shared" si="41"/>
        <v>2.5779699856256126</v>
      </c>
      <c r="AI107" s="1">
        <f t="shared" si="49"/>
        <v>0.9650750341135157</v>
      </c>
      <c r="AJ107" s="1">
        <f t="shared" si="50"/>
        <v>2.5779699856256104</v>
      </c>
      <c r="AK107" s="26">
        <f t="shared" si="51"/>
        <v>2.2204460492503131E-15</v>
      </c>
      <c r="AL107" s="1">
        <f t="shared" si="52"/>
        <v>0.93156514989905514</v>
      </c>
      <c r="AM107" s="1">
        <f t="shared" si="53"/>
        <v>1.953284298517044E-4</v>
      </c>
      <c r="AN107" s="1">
        <f t="shared" si="54"/>
        <v>2.032196984177129</v>
      </c>
      <c r="AO107" s="1">
        <f t="shared" si="55"/>
        <v>1.425551466688288</v>
      </c>
      <c r="AP107" s="1">
        <f t="shared" si="56"/>
        <v>0.55297442353361625</v>
      </c>
    </row>
    <row r="108" spans="1:42" x14ac:dyDescent="0.45">
      <c r="A108" s="16">
        <f t="shared" si="42"/>
        <v>98</v>
      </c>
      <c r="B108" s="17">
        <f t="shared" si="43"/>
        <v>1584.9999990980566</v>
      </c>
      <c r="C108" s="18">
        <f t="shared" si="30"/>
        <v>486.99999971537295</v>
      </c>
      <c r="D108" s="19">
        <v>0.30725552049999999</v>
      </c>
      <c r="E108" s="20">
        <f t="shared" si="31"/>
        <v>0.69274447949999995</v>
      </c>
      <c r="F108" s="21">
        <f t="shared" si="32"/>
        <v>0.35962145105407495</v>
      </c>
      <c r="G108" s="1"/>
      <c r="H108" s="22">
        <f t="shared" si="33"/>
        <v>3600.9999979815821</v>
      </c>
      <c r="I108" s="19">
        <f t="shared" si="44"/>
        <v>1.2719242902402075</v>
      </c>
      <c r="J108" s="23">
        <f t="shared" si="45"/>
        <v>1.7719242902402075</v>
      </c>
      <c r="K108" s="1"/>
      <c r="L108" s="3">
        <f t="shared" si="34"/>
        <v>98</v>
      </c>
      <c r="M108" s="24">
        <f t="shared" si="35"/>
        <v>603.54139777182888</v>
      </c>
      <c r="N108" s="24">
        <f t="shared" si="36"/>
        <v>1358.0489253724672</v>
      </c>
      <c r="O108" s="24">
        <f t="shared" si="37"/>
        <v>183.62337311650751</v>
      </c>
      <c r="P108" s="24">
        <f t="shared" si="38"/>
        <v>590.22719262111843</v>
      </c>
      <c r="Q108" s="1"/>
      <c r="R108" s="1">
        <f t="shared" si="27"/>
        <v>1.6599465879051992E-2</v>
      </c>
      <c r="S108" s="1">
        <f t="shared" si="28"/>
        <v>0.55885026911533975</v>
      </c>
      <c r="T108" s="1">
        <f t="shared" si="29"/>
        <v>9.2766159736791046E-3</v>
      </c>
      <c r="U108" s="1"/>
      <c r="V108" s="1"/>
      <c r="W108" s="1"/>
      <c r="X108" s="1"/>
      <c r="Y108" s="1"/>
      <c r="Z108" s="1"/>
      <c r="AA108" s="1"/>
      <c r="AB108" s="3">
        <f t="shared" si="46"/>
        <v>98</v>
      </c>
      <c r="AC108" s="24">
        <f t="shared" si="47"/>
        <v>229.81843472028777</v>
      </c>
      <c r="AD108" s="24">
        <f t="shared" si="39"/>
        <v>512.23035845648519</v>
      </c>
      <c r="AE108" s="24">
        <f t="shared" si="48"/>
        <v>69.235201590123893</v>
      </c>
      <c r="AF108" s="24">
        <f t="shared" si="40"/>
        <v>219.82393618446827</v>
      </c>
      <c r="AG108" s="1"/>
      <c r="AH108" s="25">
        <f t="shared" si="41"/>
        <v>2.2501338439851026</v>
      </c>
      <c r="AI108" s="1">
        <f t="shared" si="49"/>
        <v>0.96825729136104544</v>
      </c>
      <c r="AJ108" s="1">
        <f t="shared" si="50"/>
        <v>2.2501338439851017</v>
      </c>
      <c r="AK108" s="26">
        <f t="shared" si="51"/>
        <v>8.8817841970012523E-16</v>
      </c>
      <c r="AL108" s="1">
        <f t="shared" si="52"/>
        <v>0.93766427601419133</v>
      </c>
      <c r="AM108" s="1">
        <f t="shared" si="53"/>
        <v>1.4209374036289191E-4</v>
      </c>
      <c r="AN108" s="1">
        <f t="shared" si="54"/>
        <v>1.478343274735525</v>
      </c>
      <c r="AO108" s="1">
        <f t="shared" si="55"/>
        <v>1.2158714055094497</v>
      </c>
      <c r="AP108" s="1">
        <f t="shared" si="56"/>
        <v>0.54035514765471859</v>
      </c>
    </row>
    <row r="109" spans="1:42" x14ac:dyDescent="0.45">
      <c r="A109" s="16">
        <f t="shared" si="42"/>
        <v>99</v>
      </c>
      <c r="B109" s="17">
        <f t="shared" si="43"/>
        <v>1097.9999993826837</v>
      </c>
      <c r="C109" s="18">
        <f t="shared" si="30"/>
        <v>566.99999965602183</v>
      </c>
      <c r="D109" s="19">
        <v>0.51639344259999997</v>
      </c>
      <c r="E109" s="20">
        <f t="shared" si="31"/>
        <v>0.48360655740000003</v>
      </c>
      <c r="F109" s="21">
        <f t="shared" si="32"/>
        <v>0.47996357011109902</v>
      </c>
      <c r="G109" s="1"/>
      <c r="H109" s="22">
        <f t="shared" si="33"/>
        <v>2015.9999988835252</v>
      </c>
      <c r="I109" s="19">
        <f t="shared" si="44"/>
        <v>0.83606557378593671</v>
      </c>
      <c r="J109" s="23">
        <f t="shared" si="45"/>
        <v>1.3360655737859366</v>
      </c>
      <c r="K109" s="1"/>
      <c r="L109" s="3">
        <f t="shared" si="34"/>
        <v>99</v>
      </c>
      <c r="M109" s="24">
        <f t="shared" si="35"/>
        <v>414.00095212814665</v>
      </c>
      <c r="N109" s="24">
        <f t="shared" si="36"/>
        <v>754.50752760063824</v>
      </c>
      <c r="O109" s="24">
        <f t="shared" si="37"/>
        <v>211.69142223355166</v>
      </c>
      <c r="P109" s="24">
        <f t="shared" si="38"/>
        <v>406.6038195046109</v>
      </c>
      <c r="Q109" s="1"/>
      <c r="R109" s="1">
        <f t="shared" si="27"/>
        <v>1.1499188350361882E-2</v>
      </c>
      <c r="S109" s="1">
        <f t="shared" si="28"/>
        <v>0.55337134490832673</v>
      </c>
      <c r="T109" s="1">
        <f t="shared" si="29"/>
        <v>6.3633213227939182E-3</v>
      </c>
      <c r="U109" s="1"/>
      <c r="V109" s="1"/>
      <c r="W109" s="1"/>
      <c r="X109" s="1"/>
      <c r="Y109" s="1"/>
      <c r="Z109" s="1"/>
      <c r="AA109" s="1"/>
      <c r="AB109" s="3">
        <f t="shared" si="46"/>
        <v>99</v>
      </c>
      <c r="AC109" s="24">
        <f t="shared" si="47"/>
        <v>156.09907874259966</v>
      </c>
      <c r="AD109" s="24">
        <f t="shared" si="39"/>
        <v>282.41192373619748</v>
      </c>
      <c r="AE109" s="24">
        <f t="shared" si="48"/>
        <v>79.035728879101271</v>
      </c>
      <c r="AF109" s="24">
        <f t="shared" si="40"/>
        <v>150.58873459434437</v>
      </c>
      <c r="AG109" s="1"/>
      <c r="AH109" s="25">
        <f t="shared" si="41"/>
        <v>1.8224777593436399</v>
      </c>
      <c r="AI109" s="1">
        <f t="shared" si="49"/>
        <v>0.97240848612557107</v>
      </c>
      <c r="AJ109" s="1">
        <f t="shared" si="50"/>
        <v>1.8224777593436623</v>
      </c>
      <c r="AK109" s="26">
        <f t="shared" si="51"/>
        <v>2.2426505097428162E-14</v>
      </c>
      <c r="AL109" s="1">
        <f t="shared" si="52"/>
        <v>0.94569130578563099</v>
      </c>
      <c r="AM109" s="1">
        <f t="shared" si="53"/>
        <v>1.1304189660599206E-4</v>
      </c>
      <c r="AN109" s="1">
        <f t="shared" si="54"/>
        <v>1.1760878922887394</v>
      </c>
      <c r="AO109" s="1">
        <f t="shared" si="55"/>
        <v>1.0844758606297973</v>
      </c>
      <c r="AP109" s="1">
        <f t="shared" si="56"/>
        <v>0.59505574488896262</v>
      </c>
    </row>
    <row r="110" spans="1:42" x14ac:dyDescent="0.45">
      <c r="A110" s="16">
        <f t="shared" si="42"/>
        <v>100</v>
      </c>
      <c r="B110" s="17">
        <f t="shared" si="43"/>
        <v>530.99999972666183</v>
      </c>
      <c r="C110" s="18">
        <f t="shared" si="30"/>
        <v>293.99999985706023</v>
      </c>
      <c r="D110" s="19">
        <v>0.55367231640000003</v>
      </c>
      <c r="E110" s="20">
        <f t="shared" si="31"/>
        <v>0.44632768359999997</v>
      </c>
      <c r="F110" s="21">
        <f t="shared" si="32"/>
        <v>0.81073446323567921</v>
      </c>
      <c r="G110" s="1"/>
      <c r="H110" s="22">
        <f t="shared" si="33"/>
        <v>917.99999950084157</v>
      </c>
      <c r="I110" s="19">
        <f t="shared" si="44"/>
        <v>0.72881355927192526</v>
      </c>
      <c r="J110" s="23">
        <f t="shared" si="45"/>
        <v>1.2288135592719254</v>
      </c>
      <c r="K110" s="1"/>
      <c r="L110" s="3">
        <f t="shared" si="34"/>
        <v>100</v>
      </c>
      <c r="M110" s="24">
        <f t="shared" si="35"/>
        <v>198.25069703059347</v>
      </c>
      <c r="N110" s="24">
        <f t="shared" si="36"/>
        <v>340.50657547249159</v>
      </c>
      <c r="O110" s="24">
        <f t="shared" si="37"/>
        <v>108.6897861562468</v>
      </c>
      <c r="P110" s="24">
        <f t="shared" si="38"/>
        <v>194.91239727105926</v>
      </c>
      <c r="Q110" s="1"/>
      <c r="R110" s="1">
        <f t="shared" si="27"/>
        <v>5.5610828910126952E-3</v>
      </c>
      <c r="S110" s="1">
        <f t="shared" si="28"/>
        <v>0.54794613564451977</v>
      </c>
      <c r="T110" s="1">
        <f t="shared" si="29"/>
        <v>3.0471738801292605E-3</v>
      </c>
      <c r="U110" s="1"/>
      <c r="V110" s="1"/>
      <c r="W110" s="1"/>
      <c r="X110" s="1"/>
      <c r="Y110" s="1"/>
      <c r="Z110" s="1"/>
      <c r="AA110" s="1"/>
      <c r="AB110" s="3">
        <f t="shared" si="46"/>
        <v>100</v>
      </c>
      <c r="AC110" s="24">
        <f t="shared" si="47"/>
        <v>74.01758736977024</v>
      </c>
      <c r="AD110" s="24">
        <f t="shared" si="39"/>
        <v>126.31284499359782</v>
      </c>
      <c r="AE110" s="24">
        <f t="shared" si="48"/>
        <v>40.181869457259346</v>
      </c>
      <c r="AF110" s="24">
        <f t="shared" si="40"/>
        <v>71.553005715243117</v>
      </c>
      <c r="AG110" s="1"/>
      <c r="AH110" s="25">
        <f t="shared" si="41"/>
        <v>1.7175555020618445</v>
      </c>
      <c r="AI110" s="1">
        <f t="shared" si="49"/>
        <v>0.97342695105744681</v>
      </c>
      <c r="AJ110" s="1">
        <f t="shared" si="50"/>
        <v>1.7175555020618316</v>
      </c>
      <c r="AK110" s="26">
        <f t="shared" si="51"/>
        <v>1.2878587085651816E-14</v>
      </c>
      <c r="AL110" s="1">
        <f t="shared" si="52"/>
        <v>0.94765489282201376</v>
      </c>
      <c r="AM110" s="1">
        <f t="shared" si="53"/>
        <v>9.4863777016840345E-5</v>
      </c>
      <c r="AN110" s="1">
        <f t="shared" si="54"/>
        <v>0.98696273608320528</v>
      </c>
      <c r="AO110" s="1">
        <f t="shared" si="55"/>
        <v>0.99345998212469799</v>
      </c>
      <c r="AP110" s="1">
        <f t="shared" si="56"/>
        <v>0.57841506777050067</v>
      </c>
    </row>
    <row r="111" spans="1:42" x14ac:dyDescent="0.45">
      <c r="A111" s="16">
        <f t="shared" si="42"/>
        <v>101</v>
      </c>
      <c r="B111" s="17">
        <f t="shared" si="43"/>
        <v>236.9999998696016</v>
      </c>
      <c r="C111" s="18">
        <f t="shared" si="30"/>
        <v>139.99999992817141</v>
      </c>
      <c r="D111" s="19">
        <v>0.59071729959999997</v>
      </c>
      <c r="E111" s="20">
        <f t="shared" si="31"/>
        <v>0.40928270040000003</v>
      </c>
      <c r="F111" s="21">
        <f t="shared" si="32"/>
        <v>0.91561181439666728</v>
      </c>
      <c r="G111" s="1"/>
      <c r="H111" s="22">
        <f t="shared" si="33"/>
        <v>386.99999977417974</v>
      </c>
      <c r="I111" s="19">
        <f t="shared" si="44"/>
        <v>0.63291139235066995</v>
      </c>
      <c r="J111" s="23">
        <f t="shared" si="45"/>
        <v>1.13291139235067</v>
      </c>
      <c r="K111" s="1"/>
      <c r="L111" s="3">
        <f t="shared" si="34"/>
        <v>101</v>
      </c>
      <c r="M111" s="24">
        <f t="shared" si="35"/>
        <v>87.617276589733024</v>
      </c>
      <c r="N111" s="24">
        <f t="shared" si="36"/>
        <v>142.25587844189809</v>
      </c>
      <c r="O111" s="24">
        <f t="shared" si="37"/>
        <v>51.249619054556206</v>
      </c>
      <c r="P111" s="24">
        <f t="shared" si="38"/>
        <v>86.222611114812466</v>
      </c>
      <c r="Q111" s="1"/>
      <c r="R111" s="1">
        <f t="shared" si="27"/>
        <v>2.4820652450532874E-3</v>
      </c>
      <c r="S111" s="1">
        <f t="shared" si="28"/>
        <v>0.54257411470682848</v>
      </c>
      <c r="T111" s="1">
        <f t="shared" si="29"/>
        <v>1.3467043529793747E-3</v>
      </c>
      <c r="U111" s="1"/>
      <c r="V111" s="1"/>
      <c r="W111" s="1"/>
      <c r="X111" s="1"/>
      <c r="Y111" s="1"/>
      <c r="Z111" s="1"/>
      <c r="AA111" s="1"/>
      <c r="AB111" s="3">
        <f t="shared" si="46"/>
        <v>101</v>
      </c>
      <c r="AC111" s="24">
        <f t="shared" si="47"/>
        <v>32.391507009390637</v>
      </c>
      <c r="AD111" s="24">
        <f t="shared" si="39"/>
        <v>52.295257623827574</v>
      </c>
      <c r="AE111" s="24">
        <f t="shared" si="48"/>
        <v>18.760881818462128</v>
      </c>
      <c r="AF111" s="24">
        <f t="shared" si="40"/>
        <v>31.371136257983775</v>
      </c>
      <c r="AG111" s="1"/>
      <c r="AH111" s="25">
        <f t="shared" si="41"/>
        <v>1.6236053433617863</v>
      </c>
      <c r="AI111" s="1">
        <f t="shared" si="49"/>
        <v>0.97433891144086815</v>
      </c>
      <c r="AJ111" s="1">
        <f t="shared" si="50"/>
        <v>1.6236053433617661</v>
      </c>
      <c r="AK111" s="26">
        <f t="shared" si="51"/>
        <v>2.0206059048177849E-14</v>
      </c>
      <c r="AL111" s="1">
        <f t="shared" si="52"/>
        <v>0.94941556532680282</v>
      </c>
      <c r="AM111" s="1">
        <f t="shared" si="53"/>
        <v>7.9250979026945778E-5</v>
      </c>
      <c r="AN111" s="1">
        <f t="shared" si="54"/>
        <v>0.82452718579634243</v>
      </c>
      <c r="AO111" s="1">
        <f t="shared" si="55"/>
        <v>0.90803479327410275</v>
      </c>
      <c r="AP111" s="1">
        <f t="shared" si="56"/>
        <v>0.55927063617193717</v>
      </c>
    </row>
    <row r="112" spans="1:42" x14ac:dyDescent="0.45">
      <c r="A112" s="16">
        <f t="shared" si="42"/>
        <v>102</v>
      </c>
      <c r="B112" s="17">
        <f t="shared" si="43"/>
        <v>96.99999994143019</v>
      </c>
      <c r="C112" s="18">
        <f t="shared" si="30"/>
        <v>60.999999964967436</v>
      </c>
      <c r="D112" s="19">
        <v>0.6288659794</v>
      </c>
      <c r="E112" s="20">
        <f t="shared" si="31"/>
        <v>0.3711340206</v>
      </c>
      <c r="F112" s="21">
        <f t="shared" si="32"/>
        <v>1.0360824743015729</v>
      </c>
      <c r="G112" s="1"/>
      <c r="H112" s="22">
        <f t="shared" si="33"/>
        <v>149.99999990457815</v>
      </c>
      <c r="I112" s="19">
        <f t="shared" si="44"/>
        <v>0.54639175252731964</v>
      </c>
      <c r="J112" s="23">
        <f t="shared" si="45"/>
        <v>1.0463917525273196</v>
      </c>
      <c r="K112" s="1"/>
      <c r="L112" s="3">
        <f t="shared" si="34"/>
        <v>102</v>
      </c>
      <c r="M112" s="24">
        <f t="shared" si="35"/>
        <v>35.508664627434349</v>
      </c>
      <c r="N112" s="24">
        <f t="shared" si="36"/>
        <v>54.638601852165067</v>
      </c>
      <c r="O112" s="24">
        <f t="shared" si="37"/>
        <v>22.111267715390994</v>
      </c>
      <c r="P112" s="24">
        <f t="shared" si="38"/>
        <v>34.97299206025626</v>
      </c>
      <c r="Q112" s="1"/>
      <c r="R112" s="1">
        <f t="shared" si="27"/>
        <v>1.0158663660643971E-3</v>
      </c>
      <c r="S112" s="1">
        <f t="shared" si="28"/>
        <v>0.53725476064107514</v>
      </c>
      <c r="T112" s="1">
        <f t="shared" si="29"/>
        <v>5.4577904134324646E-4</v>
      </c>
      <c r="U112" s="1"/>
      <c r="V112" s="1"/>
      <c r="W112" s="1"/>
      <c r="X112" s="1"/>
      <c r="Y112" s="1"/>
      <c r="Z112" s="1"/>
      <c r="AA112" s="1"/>
      <c r="AB112" s="3">
        <f t="shared" si="46"/>
        <v>102</v>
      </c>
      <c r="AC112" s="24">
        <f t="shared" si="47"/>
        <v>12.998610973040549</v>
      </c>
      <c r="AD112" s="24">
        <f t="shared" si="39"/>
        <v>19.903750614436937</v>
      </c>
      <c r="AE112" s="24">
        <f t="shared" si="48"/>
        <v>8.0148878731553133</v>
      </c>
      <c r="AF112" s="24">
        <f t="shared" si="40"/>
        <v>12.610254439521647</v>
      </c>
      <c r="AG112" s="1"/>
      <c r="AH112" s="25">
        <f t="shared" si="41"/>
        <v>1.5387399786910245</v>
      </c>
      <c r="AI112" s="1">
        <f t="shared" si="49"/>
        <v>0.97516268706376408</v>
      </c>
      <c r="AJ112" s="1">
        <f t="shared" si="50"/>
        <v>1.5387399786910188</v>
      </c>
      <c r="AK112" s="26">
        <f t="shared" si="51"/>
        <v>5.773159728050814E-15</v>
      </c>
      <c r="AL112" s="1">
        <f t="shared" si="52"/>
        <v>0.95100796806041876</v>
      </c>
      <c r="AM112" s="1">
        <f t="shared" si="53"/>
        <v>6.5701818998120665E-5</v>
      </c>
      <c r="AN112" s="1">
        <f t="shared" si="54"/>
        <v>0.68356172485644617</v>
      </c>
      <c r="AO112" s="1">
        <f t="shared" si="55"/>
        <v>0.82677791749444185</v>
      </c>
      <c r="AP112" s="1">
        <f t="shared" si="56"/>
        <v>0.53730840099297694</v>
      </c>
    </row>
    <row r="113" spans="1:42" x14ac:dyDescent="0.45">
      <c r="A113" s="16">
        <f t="shared" si="42"/>
        <v>103</v>
      </c>
      <c r="B113" s="17">
        <f t="shared" si="43"/>
        <v>35.999999976462753</v>
      </c>
      <c r="C113" s="18">
        <f t="shared" si="30"/>
        <v>23.999999985508502</v>
      </c>
      <c r="D113" s="19">
        <v>0.66666666669999997</v>
      </c>
      <c r="E113" s="20">
        <f t="shared" si="31"/>
        <v>0.33333333330000003</v>
      </c>
      <c r="F113" s="21">
        <f t="shared" si="32"/>
        <v>1.1805555556395833</v>
      </c>
      <c r="G113" s="1"/>
      <c r="H113" s="22">
        <f t="shared" si="33"/>
        <v>52.999999963147943</v>
      </c>
      <c r="I113" s="19">
        <f t="shared" si="44"/>
        <v>0.4722222221611112</v>
      </c>
      <c r="J113" s="23">
        <f t="shared" si="45"/>
        <v>0.9722222221611112</v>
      </c>
      <c r="K113" s="1"/>
      <c r="L113" s="3">
        <f t="shared" si="34"/>
        <v>103</v>
      </c>
      <c r="M113" s="24">
        <f t="shared" si="35"/>
        <v>13.049272749029294</v>
      </c>
      <c r="N113" s="24">
        <f t="shared" si="36"/>
        <v>19.129937224730714</v>
      </c>
      <c r="O113" s="24">
        <f t="shared" si="37"/>
        <v>8.6142258020775007</v>
      </c>
      <c r="P113" s="24">
        <f t="shared" si="38"/>
        <v>12.861724344865269</v>
      </c>
      <c r="Q113" s="1"/>
      <c r="R113" s="1">
        <f t="shared" si="27"/>
        <v>3.7702256882979118E-4</v>
      </c>
      <c r="S113" s="1">
        <f t="shared" si="28"/>
        <v>0.53198755710537826</v>
      </c>
      <c r="T113" s="1">
        <f t="shared" si="29"/>
        <v>2.0057131536535495E-4</v>
      </c>
      <c r="U113" s="1"/>
      <c r="V113" s="1"/>
      <c r="W113" s="1"/>
      <c r="X113" s="1"/>
      <c r="Y113" s="1"/>
      <c r="Z113" s="1"/>
      <c r="AA113" s="1"/>
      <c r="AB113" s="3">
        <f t="shared" si="46"/>
        <v>103</v>
      </c>
      <c r="AC113" s="24">
        <f t="shared" si="47"/>
        <v>4.7300977608303336</v>
      </c>
      <c r="AD113" s="24">
        <f t="shared" si="39"/>
        <v>6.9051396413963886</v>
      </c>
      <c r="AE113" s="24">
        <f t="shared" si="48"/>
        <v>3.0918702589159826</v>
      </c>
      <c r="AF113" s="24">
        <f t="shared" si="40"/>
        <v>4.5953665663663337</v>
      </c>
      <c r="AG113" s="1"/>
      <c r="AH113" s="25">
        <f t="shared" si="41"/>
        <v>1.4659772688216473</v>
      </c>
      <c r="AI113" s="1">
        <f t="shared" si="49"/>
        <v>0.97586898399513078</v>
      </c>
      <c r="AJ113" s="1">
        <f t="shared" si="50"/>
        <v>1.4659772688216248</v>
      </c>
      <c r="AK113" s="26">
        <f t="shared" si="51"/>
        <v>2.2426505097428162E-14</v>
      </c>
      <c r="AL113" s="1">
        <f t="shared" si="52"/>
        <v>0.95237348536212407</v>
      </c>
      <c r="AM113" s="1">
        <f t="shared" si="53"/>
        <v>5.321143843528553E-5</v>
      </c>
      <c r="AN113" s="1">
        <f t="shared" si="54"/>
        <v>0.55361180548070965</v>
      </c>
      <c r="AO113" s="1">
        <f t="shared" si="55"/>
        <v>0.74405094279942263</v>
      </c>
      <c r="AP113" s="1">
        <f t="shared" si="56"/>
        <v>0.50754602995822096</v>
      </c>
    </row>
    <row r="114" spans="1:42" x14ac:dyDescent="0.45">
      <c r="A114" s="16">
        <f t="shared" si="42"/>
        <v>104</v>
      </c>
      <c r="B114" s="17">
        <f t="shared" si="43"/>
        <v>11.999999990954253</v>
      </c>
      <c r="C114" s="18">
        <f t="shared" si="30"/>
        <v>7.9999999943695013</v>
      </c>
      <c r="D114" s="19">
        <v>0.66666666669999997</v>
      </c>
      <c r="E114" s="20">
        <f t="shared" si="31"/>
        <v>0.33333333330000003</v>
      </c>
      <c r="F114" s="21">
        <f t="shared" si="32"/>
        <v>1.3333333334999999</v>
      </c>
      <c r="G114" s="1"/>
      <c r="H114" s="22">
        <f t="shared" si="33"/>
        <v>16.999999986685193</v>
      </c>
      <c r="I114" s="19">
        <f t="shared" si="44"/>
        <v>0.41666666662500007</v>
      </c>
      <c r="J114" s="23">
        <f t="shared" si="45"/>
        <v>0.91666666662500007</v>
      </c>
      <c r="K114" s="1"/>
      <c r="L114" s="3">
        <f t="shared" si="34"/>
        <v>104</v>
      </c>
      <c r="M114" s="24">
        <f t="shared" si="35"/>
        <v>4.307112900392684</v>
      </c>
      <c r="N114" s="24">
        <f t="shared" si="36"/>
        <v>6.0806644757014201</v>
      </c>
      <c r="O114" s="24">
        <f t="shared" si="37"/>
        <v>2.843257535695503</v>
      </c>
      <c r="P114" s="24">
        <f t="shared" si="38"/>
        <v>4.2474985427877678</v>
      </c>
      <c r="Q114" s="1"/>
      <c r="R114" s="1">
        <f t="shared" si="27"/>
        <v>1.25674189597363E-4</v>
      </c>
      <c r="S114" s="1">
        <f t="shared" si="28"/>
        <v>0.5267719928200314</v>
      </c>
      <c r="T114" s="1">
        <f t="shared" si="29"/>
        <v>6.6201643300245361E-5</v>
      </c>
      <c r="U114" s="1"/>
      <c r="V114" s="1"/>
      <c r="W114" s="1"/>
      <c r="X114" s="1"/>
      <c r="Y114" s="1"/>
      <c r="Z114" s="1"/>
      <c r="AA114" s="1"/>
      <c r="AB114" s="3">
        <f t="shared" si="46"/>
        <v>104</v>
      </c>
      <c r="AC114" s="24">
        <f t="shared" si="47"/>
        <v>1.5459351292261012</v>
      </c>
      <c r="AD114" s="24">
        <f t="shared" si="39"/>
        <v>2.1750418805660545</v>
      </c>
      <c r="AE114" s="24">
        <f t="shared" si="48"/>
        <v>1.0105141774973703</v>
      </c>
      <c r="AF114" s="24">
        <f t="shared" si="40"/>
        <v>1.5034963074503507</v>
      </c>
      <c r="AG114" s="1"/>
      <c r="AH114" s="25">
        <f t="shared" si="41"/>
        <v>1.4117727155810194</v>
      </c>
      <c r="AI114" s="1">
        <f t="shared" si="49"/>
        <v>0.97639513962744107</v>
      </c>
      <c r="AJ114" s="1">
        <f t="shared" si="50"/>
        <v>1.4117727155810216</v>
      </c>
      <c r="AK114" s="26">
        <f t="shared" si="51"/>
        <v>2.2204460492503131E-15</v>
      </c>
      <c r="AL114" s="1">
        <f t="shared" si="52"/>
        <v>0.95338508235419661</v>
      </c>
      <c r="AM114" s="1">
        <f t="shared" si="53"/>
        <v>3.761366610643968E-5</v>
      </c>
      <c r="AN114" s="1">
        <f t="shared" si="54"/>
        <v>0.39133258217139777</v>
      </c>
      <c r="AO114" s="1">
        <f t="shared" si="55"/>
        <v>0.6255658096246931</v>
      </c>
      <c r="AP114" s="1">
        <f t="shared" si="56"/>
        <v>0.4431066011693246</v>
      </c>
    </row>
    <row r="115" spans="1:42" x14ac:dyDescent="0.45">
      <c r="A115" s="16">
        <f t="shared" si="42"/>
        <v>105</v>
      </c>
      <c r="B115" s="17">
        <f t="shared" si="43"/>
        <v>3.9999999965847515</v>
      </c>
      <c r="C115" s="18">
        <f t="shared" si="30"/>
        <v>2.9999999974385636</v>
      </c>
      <c r="D115" s="19">
        <v>0.75</v>
      </c>
      <c r="E115" s="20">
        <f t="shared" si="31"/>
        <v>0.25</v>
      </c>
      <c r="F115" s="21">
        <f t="shared" si="32"/>
        <v>1.3750000001499998</v>
      </c>
      <c r="G115" s="1"/>
      <c r="H115" s="22">
        <f t="shared" si="33"/>
        <v>4.9999999957309393</v>
      </c>
      <c r="I115" s="19">
        <f t="shared" si="44"/>
        <v>0.25</v>
      </c>
      <c r="J115" s="23">
        <f t="shared" si="45"/>
        <v>0.75</v>
      </c>
      <c r="K115" s="1"/>
      <c r="L115" s="3">
        <f t="shared" si="34"/>
        <v>105</v>
      </c>
      <c r="M115" s="24">
        <f t="shared" si="35"/>
        <v>1.4216287676345074</v>
      </c>
      <c r="N115" s="24">
        <f t="shared" si="36"/>
        <v>1.7735515753087361</v>
      </c>
      <c r="O115" s="24">
        <f t="shared" si="37"/>
        <v>1.0557684230226858</v>
      </c>
      <c r="P115" s="24">
        <f t="shared" si="38"/>
        <v>1.4042410070922651</v>
      </c>
      <c r="Q115" s="1"/>
      <c r="R115" s="1">
        <f t="shared" si="27"/>
        <v>4.1891396528265195E-5</v>
      </c>
      <c r="S115" s="1">
        <f t="shared" si="28"/>
        <v>0.52160756151787435</v>
      </c>
      <c r="T115" s="1">
        <f t="shared" si="29"/>
        <v>2.1850869191686757E-5</v>
      </c>
      <c r="U115" s="1"/>
      <c r="V115" s="1"/>
      <c r="W115" s="1"/>
      <c r="X115" s="1"/>
      <c r="Y115" s="1"/>
      <c r="Z115" s="1"/>
      <c r="AA115" s="1"/>
      <c r="AB115" s="3">
        <f t="shared" si="46"/>
        <v>105</v>
      </c>
      <c r="AC115" s="24">
        <f t="shared" si="47"/>
        <v>0.50525708867289676</v>
      </c>
      <c r="AD115" s="24">
        <f t="shared" si="39"/>
        <v>0.6291067513399532</v>
      </c>
      <c r="AE115" s="24">
        <f t="shared" si="48"/>
        <v>0.37154898800116931</v>
      </c>
      <c r="AF115" s="24">
        <f t="shared" si="40"/>
        <v>0.49298212995298041</v>
      </c>
      <c r="AG115" s="1"/>
      <c r="AH115" s="25">
        <f t="shared" si="41"/>
        <v>1.2475490196078431</v>
      </c>
      <c r="AI115" s="1">
        <f t="shared" si="49"/>
        <v>0.97798923490965028</v>
      </c>
      <c r="AJ115" s="1">
        <f t="shared" si="50"/>
        <v>1.2475490196078283</v>
      </c>
      <c r="AK115" s="26">
        <f t="shared" si="51"/>
        <v>1.4876988529977098E-14</v>
      </c>
      <c r="AL115" s="1">
        <f t="shared" si="52"/>
        <v>0.95648026570090094</v>
      </c>
      <c r="AM115" s="1">
        <f t="shared" si="53"/>
        <v>1.7322101737771156E-5</v>
      </c>
      <c r="AN115" s="1">
        <f t="shared" si="54"/>
        <v>0.1802191464797708</v>
      </c>
      <c r="AO115" s="1">
        <f t="shared" si="55"/>
        <v>0.42452225675430821</v>
      </c>
      <c r="AP115" s="1">
        <f t="shared" si="56"/>
        <v>0.34028503095433743</v>
      </c>
    </row>
    <row r="116" spans="1:42" x14ac:dyDescent="0.45">
      <c r="A116" s="16">
        <f t="shared" si="42"/>
        <v>106</v>
      </c>
      <c r="B116" s="17">
        <f t="shared" si="43"/>
        <v>0.99999999914618787</v>
      </c>
      <c r="C116" s="18">
        <f t="shared" si="30"/>
        <v>0.99999999914618787</v>
      </c>
      <c r="D116" s="19">
        <v>1</v>
      </c>
      <c r="E116" s="20">
        <f t="shared" si="31"/>
        <v>0</v>
      </c>
      <c r="F116" s="21">
        <f t="shared" si="32"/>
        <v>2</v>
      </c>
      <c r="G116" s="1"/>
      <c r="H116" s="22">
        <f t="shared" si="33"/>
        <v>0.99999999914618787</v>
      </c>
      <c r="I116" s="19">
        <f t="shared" si="44"/>
        <v>0</v>
      </c>
      <c r="J116" s="23">
        <f t="shared" si="45"/>
        <v>0.5</v>
      </c>
      <c r="K116" s="1"/>
      <c r="L116" s="3">
        <f t="shared" si="34"/>
        <v>106</v>
      </c>
      <c r="M116" s="24">
        <f t="shared" si="35"/>
        <v>0.35192280767422862</v>
      </c>
      <c r="N116" s="24">
        <f t="shared" si="36"/>
        <v>0.35192280767422862</v>
      </c>
      <c r="O116" s="24">
        <f t="shared" si="37"/>
        <v>0.34847258406957932</v>
      </c>
      <c r="P116" s="24">
        <f t="shared" si="38"/>
        <v>0.34847258406957932</v>
      </c>
      <c r="Q116" s="1"/>
      <c r="R116" s="1">
        <f t="shared" si="27"/>
        <v>1.0472849132066299E-5</v>
      </c>
      <c r="S116" s="1">
        <f t="shared" si="28"/>
        <v>0.51649376189514995</v>
      </c>
      <c r="T116" s="1">
        <f t="shared" si="29"/>
        <v>5.4091612459812789E-6</v>
      </c>
      <c r="U116" s="1"/>
      <c r="V116" s="1"/>
      <c r="W116" s="1"/>
      <c r="X116" s="1"/>
      <c r="Y116" s="1"/>
      <c r="Z116" s="1"/>
      <c r="AA116" s="1"/>
      <c r="AB116" s="3">
        <f t="shared" si="46"/>
        <v>106</v>
      </c>
      <c r="AC116" s="24">
        <f t="shared" si="47"/>
        <v>0.12384966266705644</v>
      </c>
      <c r="AD116" s="24">
        <f t="shared" si="39"/>
        <v>0.12384966266705644</v>
      </c>
      <c r="AE116" s="24">
        <f t="shared" si="48"/>
        <v>0.12143314195181111</v>
      </c>
      <c r="AF116" s="24">
        <f t="shared" si="40"/>
        <v>0.12143314195181111</v>
      </c>
      <c r="AG116" s="1"/>
      <c r="AH116" s="25">
        <f t="shared" si="41"/>
        <v>1</v>
      </c>
      <c r="AI116" s="1">
        <f t="shared" si="49"/>
        <v>0.98039215686274517</v>
      </c>
      <c r="AJ116" s="1">
        <f t="shared" si="50"/>
        <v>0.99999999999999556</v>
      </c>
      <c r="AK116" s="26">
        <f t="shared" si="51"/>
        <v>4.4408920985006262E-15</v>
      </c>
      <c r="AL116" s="1">
        <f t="shared" si="52"/>
        <v>0.96116878123798544</v>
      </c>
      <c r="AM116" s="1">
        <f t="shared" si="53"/>
        <v>-1.1102230246251565E-16</v>
      </c>
      <c r="AN116" s="1">
        <f t="shared" si="54"/>
        <v>-1.1550760348200108E-12</v>
      </c>
      <c r="AO116" s="1" t="e">
        <f t="shared" si="55"/>
        <v>#NUM!</v>
      </c>
      <c r="AP116" s="1" t="e">
        <f t="shared" si="56"/>
        <v>#NUM!</v>
      </c>
    </row>
    <row r="117" spans="1:42" x14ac:dyDescent="0.45">
      <c r="A117" s="16">
        <f t="shared" si="42"/>
        <v>107</v>
      </c>
      <c r="B117" s="17">
        <f t="shared" si="43"/>
        <v>0</v>
      </c>
      <c r="C117" s="18">
        <f t="shared" si="30"/>
        <v>0</v>
      </c>
      <c r="D117" s="19"/>
      <c r="E117" s="20"/>
      <c r="F117" s="21"/>
      <c r="G117" s="1"/>
      <c r="H117" s="22">
        <f t="shared" si="33"/>
        <v>0</v>
      </c>
      <c r="I117" s="19" t="e">
        <f t="shared" si="44"/>
        <v>#DIV/0!</v>
      </c>
      <c r="J117" s="23" t="e">
        <f t="shared" si="45"/>
        <v>#DIV/0!</v>
      </c>
      <c r="K117" s="1"/>
      <c r="L117" s="3">
        <f t="shared" si="34"/>
        <v>107</v>
      </c>
      <c r="M117" s="24">
        <f t="shared" si="35"/>
        <v>0</v>
      </c>
      <c r="N117" s="24">
        <f t="shared" si="36"/>
        <v>0</v>
      </c>
      <c r="O117" s="24">
        <f t="shared" si="37"/>
        <v>0</v>
      </c>
      <c r="P117" s="24">
        <f t="shared" si="38"/>
        <v>0</v>
      </c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3">
        <f t="shared" si="46"/>
        <v>107</v>
      </c>
      <c r="AC117" s="24">
        <f t="shared" si="47"/>
        <v>0</v>
      </c>
      <c r="AD117" s="24">
        <f t="shared" si="39"/>
        <v>0</v>
      </c>
      <c r="AE117" s="24">
        <f t="shared" si="48"/>
        <v>0</v>
      </c>
      <c r="AF117" s="24">
        <f t="shared" si="40"/>
        <v>0</v>
      </c>
      <c r="AG117" s="1"/>
      <c r="AH117" s="25" t="e">
        <f t="shared" si="41"/>
        <v>#DIV/0!</v>
      </c>
      <c r="AI117" s="1" t="e">
        <f t="shared" si="49"/>
        <v>#DIV/0!</v>
      </c>
      <c r="AJ117" s="1" t="e">
        <f t="shared" si="50"/>
        <v>#DIV/0!</v>
      </c>
      <c r="AK117" s="26" t="e">
        <f t="shared" si="51"/>
        <v>#DIV/0!</v>
      </c>
      <c r="AL117" s="1" t="e">
        <f t="shared" si="52"/>
        <v>#DIV/0!</v>
      </c>
      <c r="AM117" s="1" t="e">
        <f t="shared" si="53"/>
        <v>#DIV/0!</v>
      </c>
      <c r="AN117" s="1" t="e">
        <f t="shared" si="54"/>
        <v>#DIV/0!</v>
      </c>
      <c r="AO117" s="1" t="e">
        <f t="shared" si="55"/>
        <v>#DIV/0!</v>
      </c>
      <c r="AP117" s="1" t="e">
        <f t="shared" si="56"/>
        <v>#DIV/0!</v>
      </c>
    </row>
    <row r="118" spans="1:42" x14ac:dyDescent="0.45">
      <c r="A118" s="16">
        <f t="shared" si="42"/>
        <v>108</v>
      </c>
      <c r="B118" s="17"/>
      <c r="C118" s="18"/>
      <c r="D118" s="19"/>
      <c r="E118" s="20"/>
      <c r="F118" s="21"/>
      <c r="G118" s="1"/>
      <c r="H118" s="22">
        <f t="shared" si="33"/>
        <v>0</v>
      </c>
      <c r="I118" s="19" t="e">
        <f t="shared" si="44"/>
        <v>#DIV/0!</v>
      </c>
      <c r="J118" s="23" t="e">
        <f t="shared" si="45"/>
        <v>#DIV/0!</v>
      </c>
      <c r="K118" s="1"/>
      <c r="L118" s="3">
        <f t="shared" si="34"/>
        <v>108</v>
      </c>
      <c r="M118" s="24">
        <f t="shared" si="35"/>
        <v>0</v>
      </c>
      <c r="N118" s="24">
        <f t="shared" si="36"/>
        <v>0</v>
      </c>
      <c r="O118" s="24">
        <f t="shared" si="37"/>
        <v>0</v>
      </c>
      <c r="P118" s="24">
        <f t="shared" si="38"/>
        <v>0</v>
      </c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3">
        <f t="shared" si="46"/>
        <v>108</v>
      </c>
      <c r="AC118" s="24">
        <f t="shared" si="47"/>
        <v>0</v>
      </c>
      <c r="AD118" s="24">
        <f t="shared" si="39"/>
        <v>0</v>
      </c>
      <c r="AE118" s="24">
        <f t="shared" si="48"/>
        <v>0</v>
      </c>
      <c r="AF118" s="24">
        <f t="shared" si="40"/>
        <v>0</v>
      </c>
      <c r="AG118" s="1"/>
      <c r="AH118" s="25" t="e">
        <f t="shared" si="41"/>
        <v>#DIV/0!</v>
      </c>
      <c r="AI118" s="1" t="e">
        <f t="shared" si="49"/>
        <v>#DIV/0!</v>
      </c>
      <c r="AJ118" s="1" t="e">
        <f t="shared" si="50"/>
        <v>#DIV/0!</v>
      </c>
      <c r="AK118" s="26" t="e">
        <f t="shared" si="51"/>
        <v>#DIV/0!</v>
      </c>
      <c r="AL118" s="1" t="e">
        <f t="shared" si="52"/>
        <v>#DIV/0!</v>
      </c>
      <c r="AM118" s="1" t="e">
        <f t="shared" si="53"/>
        <v>#DIV/0!</v>
      </c>
      <c r="AN118" s="1" t="e">
        <f t="shared" si="54"/>
        <v>#DIV/0!</v>
      </c>
      <c r="AO118" s="1" t="e">
        <f t="shared" si="55"/>
        <v>#DIV/0!</v>
      </c>
      <c r="AP118" s="1" t="e">
        <f t="shared" si="56"/>
        <v>#DIV/0!</v>
      </c>
    </row>
    <row r="119" spans="1:42" x14ac:dyDescent="0.45">
      <c r="A119" s="16">
        <f t="shared" si="42"/>
        <v>109</v>
      </c>
      <c r="B119" s="17"/>
      <c r="C119" s="18"/>
      <c r="D119" s="19"/>
      <c r="E119" s="20"/>
      <c r="F119" s="21"/>
      <c r="G119" s="1"/>
      <c r="H119" s="22">
        <f t="shared" si="33"/>
        <v>0</v>
      </c>
      <c r="I119" s="19" t="e">
        <f t="shared" si="44"/>
        <v>#DIV/0!</v>
      </c>
      <c r="J119" s="23" t="e">
        <f t="shared" si="45"/>
        <v>#DIV/0!</v>
      </c>
      <c r="K119" s="1"/>
      <c r="L119" s="3">
        <f t="shared" si="34"/>
        <v>109</v>
      </c>
      <c r="M119" s="24">
        <f t="shared" si="35"/>
        <v>0</v>
      </c>
      <c r="N119" s="24">
        <f t="shared" si="36"/>
        <v>0</v>
      </c>
      <c r="O119" s="24">
        <f t="shared" si="37"/>
        <v>0</v>
      </c>
      <c r="P119" s="24">
        <f t="shared" si="38"/>
        <v>0</v>
      </c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3">
        <f t="shared" si="46"/>
        <v>109</v>
      </c>
      <c r="AC119" s="24">
        <f t="shared" si="47"/>
        <v>0</v>
      </c>
      <c r="AD119" s="24">
        <f t="shared" si="39"/>
        <v>0</v>
      </c>
      <c r="AE119" s="24">
        <f t="shared" si="48"/>
        <v>0</v>
      </c>
      <c r="AF119" s="24">
        <f t="shared" si="40"/>
        <v>0</v>
      </c>
      <c r="AG119" s="1"/>
      <c r="AH119" s="25" t="e">
        <f t="shared" si="41"/>
        <v>#DIV/0!</v>
      </c>
      <c r="AI119" s="1" t="e">
        <f t="shared" si="49"/>
        <v>#DIV/0!</v>
      </c>
      <c r="AJ119" s="1" t="e">
        <f t="shared" si="50"/>
        <v>#DIV/0!</v>
      </c>
      <c r="AK119" s="26" t="e">
        <f t="shared" si="51"/>
        <v>#DIV/0!</v>
      </c>
      <c r="AL119" s="1" t="e">
        <f t="shared" si="52"/>
        <v>#DIV/0!</v>
      </c>
      <c r="AM119" s="1" t="e">
        <f t="shared" si="53"/>
        <v>#DIV/0!</v>
      </c>
      <c r="AN119" s="1" t="e">
        <f t="shared" si="54"/>
        <v>#DIV/0!</v>
      </c>
      <c r="AO119" s="1" t="e">
        <f t="shared" si="55"/>
        <v>#DIV/0!</v>
      </c>
      <c r="AP119" s="1" t="e">
        <f t="shared" si="56"/>
        <v>#DIV/0!</v>
      </c>
    </row>
    <row r="120" spans="1:42" x14ac:dyDescent="0.45">
      <c r="A120" s="16">
        <f t="shared" si="42"/>
        <v>110</v>
      </c>
      <c r="B120" s="17"/>
      <c r="C120" s="18"/>
      <c r="D120" s="19"/>
      <c r="E120" s="20"/>
      <c r="F120" s="21"/>
      <c r="G120" s="1"/>
      <c r="H120" s="22">
        <f t="shared" si="33"/>
        <v>0</v>
      </c>
      <c r="I120" s="19" t="e">
        <f t="shared" si="44"/>
        <v>#DIV/0!</v>
      </c>
      <c r="J120" s="23" t="e">
        <f t="shared" si="45"/>
        <v>#DIV/0!</v>
      </c>
      <c r="K120" s="1"/>
      <c r="L120" s="3">
        <f t="shared" si="34"/>
        <v>110</v>
      </c>
      <c r="M120" s="24">
        <f t="shared" si="35"/>
        <v>0</v>
      </c>
      <c r="N120" s="24">
        <f t="shared" si="36"/>
        <v>0</v>
      </c>
      <c r="O120" s="24">
        <f t="shared" si="37"/>
        <v>0</v>
      </c>
      <c r="P120" s="24">
        <f t="shared" si="38"/>
        <v>0</v>
      </c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3">
        <f t="shared" si="46"/>
        <v>110</v>
      </c>
      <c r="AC120" s="24">
        <f t="shared" si="47"/>
        <v>0</v>
      </c>
      <c r="AD120" s="24">
        <f t="shared" si="39"/>
        <v>0</v>
      </c>
      <c r="AE120" s="24">
        <f t="shared" si="48"/>
        <v>0</v>
      </c>
      <c r="AF120" s="24">
        <f t="shared" si="40"/>
        <v>0</v>
      </c>
      <c r="AG120" s="1"/>
      <c r="AH120" s="25" t="e">
        <f t="shared" si="41"/>
        <v>#DIV/0!</v>
      </c>
      <c r="AI120" s="1" t="e">
        <f t="shared" si="49"/>
        <v>#DIV/0!</v>
      </c>
      <c r="AJ120" s="1" t="e">
        <f t="shared" si="50"/>
        <v>#DIV/0!</v>
      </c>
      <c r="AK120" s="26" t="e">
        <f t="shared" si="51"/>
        <v>#DIV/0!</v>
      </c>
      <c r="AL120" s="1" t="e">
        <f t="shared" si="52"/>
        <v>#DIV/0!</v>
      </c>
      <c r="AM120" s="1" t="e">
        <f t="shared" si="53"/>
        <v>#DIV/0!</v>
      </c>
      <c r="AN120" s="1" t="e">
        <f t="shared" si="54"/>
        <v>#DIV/0!</v>
      </c>
      <c r="AO120" s="1" t="e">
        <f t="shared" si="55"/>
        <v>#DIV/0!</v>
      </c>
      <c r="AP120" s="1" t="e">
        <f t="shared" si="56"/>
        <v>#DIV/0!</v>
      </c>
    </row>
    <row r="121" spans="1:42" x14ac:dyDescent="0.45">
      <c r="A121" s="16">
        <f t="shared" si="42"/>
        <v>111</v>
      </c>
      <c r="B121" s="17"/>
      <c r="C121" s="18"/>
      <c r="D121" s="19"/>
      <c r="E121" s="20"/>
      <c r="F121" s="21"/>
      <c r="G121" s="1"/>
      <c r="H121" s="22">
        <f t="shared" si="33"/>
        <v>0</v>
      </c>
      <c r="I121" s="19" t="e">
        <f t="shared" si="44"/>
        <v>#DIV/0!</v>
      </c>
      <c r="J121" s="23" t="e">
        <f t="shared" si="45"/>
        <v>#DIV/0!</v>
      </c>
      <c r="K121" s="1"/>
      <c r="L121" s="3">
        <f t="shared" si="34"/>
        <v>111</v>
      </c>
      <c r="M121" s="27">
        <f t="shared" si="35"/>
        <v>0</v>
      </c>
      <c r="N121" s="27">
        <f t="shared" si="36"/>
        <v>0</v>
      </c>
      <c r="O121" s="27">
        <f t="shared" si="37"/>
        <v>0</v>
      </c>
      <c r="P121" s="27">
        <f t="shared" si="38"/>
        <v>0</v>
      </c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3">
        <f t="shared" si="46"/>
        <v>111</v>
      </c>
      <c r="AC121" s="24">
        <f t="shared" si="47"/>
        <v>0</v>
      </c>
      <c r="AD121" s="27">
        <f t="shared" si="39"/>
        <v>0</v>
      </c>
      <c r="AE121" s="24">
        <f t="shared" si="48"/>
        <v>0</v>
      </c>
      <c r="AF121" s="27">
        <f t="shared" si="40"/>
        <v>0</v>
      </c>
      <c r="AG121" s="1"/>
      <c r="AH121" s="1"/>
      <c r="AI121" s="1"/>
      <c r="AJ121" s="1"/>
      <c r="AK121" s="1"/>
      <c r="AL121" s="1"/>
      <c r="AM121" s="1"/>
      <c r="AN121" s="1"/>
      <c r="AO121" s="1"/>
      <c r="AP121" s="1"/>
    </row>
    <row r="122" spans="1:42" x14ac:dyDescent="0.45">
      <c r="A122" s="16">
        <f t="shared" si="42"/>
        <v>112</v>
      </c>
      <c r="B122" s="17"/>
      <c r="C122" s="18"/>
      <c r="D122" s="19"/>
      <c r="E122" s="20"/>
      <c r="F122" s="21"/>
      <c r="G122" s="1"/>
      <c r="H122" s="22">
        <f t="shared" si="33"/>
        <v>0</v>
      </c>
      <c r="I122" s="19" t="e">
        <f t="shared" si="44"/>
        <v>#DIV/0!</v>
      </c>
      <c r="J122" s="23" t="e">
        <f t="shared" si="45"/>
        <v>#DIV/0!</v>
      </c>
      <c r="K122" s="1"/>
      <c r="L122" s="3">
        <f t="shared" si="34"/>
        <v>112</v>
      </c>
      <c r="M122" s="27">
        <f t="shared" si="35"/>
        <v>0</v>
      </c>
      <c r="N122" s="27">
        <f t="shared" si="36"/>
        <v>0</v>
      </c>
      <c r="O122" s="27">
        <f t="shared" si="37"/>
        <v>0</v>
      </c>
      <c r="P122" s="27">
        <f t="shared" si="38"/>
        <v>0</v>
      </c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3">
        <f t="shared" si="46"/>
        <v>112</v>
      </c>
      <c r="AC122" s="24">
        <f t="shared" si="47"/>
        <v>0</v>
      </c>
      <c r="AD122" s="27">
        <f t="shared" si="39"/>
        <v>0</v>
      </c>
      <c r="AE122" s="24">
        <f t="shared" si="48"/>
        <v>0</v>
      </c>
      <c r="AF122" s="27">
        <f t="shared" si="40"/>
        <v>0</v>
      </c>
      <c r="AG122" s="1"/>
      <c r="AH122" s="1"/>
      <c r="AI122" s="1"/>
      <c r="AJ122" s="1"/>
      <c r="AK122" s="1"/>
      <c r="AL122" s="1"/>
      <c r="AM122" s="1"/>
      <c r="AN122" s="1"/>
      <c r="AO122" s="1"/>
      <c r="AP122" s="1"/>
    </row>
    <row r="123" spans="1:42" x14ac:dyDescent="0.45">
      <c r="A123" s="16">
        <f t="shared" si="42"/>
        <v>113</v>
      </c>
      <c r="B123" s="17"/>
      <c r="C123" s="18"/>
      <c r="D123" s="19"/>
      <c r="E123" s="20"/>
      <c r="F123" s="21"/>
      <c r="G123" s="1"/>
      <c r="H123" s="22">
        <f t="shared" si="33"/>
        <v>0</v>
      </c>
      <c r="I123" s="19" t="e">
        <f t="shared" si="44"/>
        <v>#DIV/0!</v>
      </c>
      <c r="J123" s="23" t="e">
        <f t="shared" si="45"/>
        <v>#DIV/0!</v>
      </c>
      <c r="K123" s="1"/>
      <c r="L123" s="3">
        <f t="shared" si="34"/>
        <v>113</v>
      </c>
      <c r="M123" s="27">
        <f t="shared" si="35"/>
        <v>0</v>
      </c>
      <c r="N123" s="27">
        <f t="shared" si="36"/>
        <v>0</v>
      </c>
      <c r="O123" s="27">
        <f t="shared" si="37"/>
        <v>0</v>
      </c>
      <c r="P123" s="27">
        <f t="shared" si="38"/>
        <v>0</v>
      </c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3">
        <f t="shared" si="46"/>
        <v>113</v>
      </c>
      <c r="AC123" s="24">
        <f t="shared" si="47"/>
        <v>0</v>
      </c>
      <c r="AD123" s="27">
        <f t="shared" si="39"/>
        <v>0</v>
      </c>
      <c r="AE123" s="24">
        <f t="shared" si="48"/>
        <v>0</v>
      </c>
      <c r="AF123" s="27">
        <f t="shared" si="40"/>
        <v>0</v>
      </c>
      <c r="AG123" s="1"/>
      <c r="AH123" s="1"/>
      <c r="AI123" s="1"/>
      <c r="AJ123" s="1"/>
      <c r="AK123" s="1"/>
      <c r="AL123" s="1"/>
      <c r="AM123" s="1"/>
      <c r="AN123" s="1"/>
      <c r="AO123" s="1"/>
      <c r="AP123" s="1"/>
    </row>
    <row r="124" spans="1:42" x14ac:dyDescent="0.45">
      <c r="A124" s="16">
        <f t="shared" si="42"/>
        <v>114</v>
      </c>
      <c r="B124" s="17"/>
      <c r="C124" s="18"/>
      <c r="D124" s="19"/>
      <c r="E124" s="20"/>
      <c r="F124" s="21"/>
      <c r="G124" s="1"/>
      <c r="H124" s="22">
        <f t="shared" si="33"/>
        <v>0</v>
      </c>
      <c r="I124" s="19" t="e">
        <f t="shared" si="44"/>
        <v>#DIV/0!</v>
      </c>
      <c r="J124" s="23" t="e">
        <f t="shared" si="45"/>
        <v>#DIV/0!</v>
      </c>
      <c r="K124" s="1"/>
      <c r="L124" s="3">
        <f t="shared" si="34"/>
        <v>114</v>
      </c>
      <c r="M124" s="27">
        <f t="shared" si="35"/>
        <v>0</v>
      </c>
      <c r="N124" s="27">
        <f t="shared" si="36"/>
        <v>0</v>
      </c>
      <c r="O124" s="27">
        <f t="shared" si="37"/>
        <v>0</v>
      </c>
      <c r="P124" s="27">
        <f t="shared" si="38"/>
        <v>0</v>
      </c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3">
        <f t="shared" si="46"/>
        <v>114</v>
      </c>
      <c r="AC124" s="24">
        <f t="shared" si="47"/>
        <v>0</v>
      </c>
      <c r="AD124" s="27">
        <f t="shared" si="39"/>
        <v>0</v>
      </c>
      <c r="AE124" s="24">
        <f t="shared" si="48"/>
        <v>0</v>
      </c>
      <c r="AF124" s="27">
        <f t="shared" si="40"/>
        <v>0</v>
      </c>
      <c r="AG124" s="1"/>
      <c r="AH124" s="1"/>
      <c r="AI124" s="1"/>
      <c r="AJ124" s="1"/>
      <c r="AK124" s="1"/>
      <c r="AL124" s="1"/>
      <c r="AM124" s="1"/>
      <c r="AN124" s="1"/>
      <c r="AO124" s="1"/>
      <c r="AP124" s="1"/>
    </row>
    <row r="125" spans="1:42" x14ac:dyDescent="0.45">
      <c r="A125" s="16">
        <f t="shared" si="42"/>
        <v>115</v>
      </c>
      <c r="B125" s="17"/>
      <c r="C125" s="18"/>
      <c r="D125" s="19"/>
      <c r="E125" s="20"/>
      <c r="F125" s="21"/>
      <c r="G125" s="1"/>
      <c r="H125" s="22">
        <f t="shared" si="33"/>
        <v>0</v>
      </c>
      <c r="I125" s="19" t="e">
        <f t="shared" si="44"/>
        <v>#DIV/0!</v>
      </c>
      <c r="J125" s="23" t="e">
        <f t="shared" si="45"/>
        <v>#DIV/0!</v>
      </c>
      <c r="K125" s="1"/>
      <c r="L125" s="3">
        <f t="shared" si="34"/>
        <v>115</v>
      </c>
      <c r="M125" s="27">
        <f t="shared" si="35"/>
        <v>0</v>
      </c>
      <c r="N125" s="27">
        <f t="shared" si="36"/>
        <v>0</v>
      </c>
      <c r="O125" s="27">
        <f t="shared" si="37"/>
        <v>0</v>
      </c>
      <c r="P125" s="27">
        <f t="shared" si="38"/>
        <v>0</v>
      </c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3">
        <f t="shared" si="46"/>
        <v>115</v>
      </c>
      <c r="AC125" s="24">
        <f t="shared" si="47"/>
        <v>0</v>
      </c>
      <c r="AD125" s="27">
        <f t="shared" si="39"/>
        <v>0</v>
      </c>
      <c r="AE125" s="24">
        <f t="shared" si="48"/>
        <v>0</v>
      </c>
      <c r="AF125" s="27">
        <f t="shared" si="40"/>
        <v>0</v>
      </c>
      <c r="AG125" s="1"/>
      <c r="AH125" s="1"/>
      <c r="AI125" s="1"/>
      <c r="AJ125" s="1"/>
      <c r="AK125" s="1"/>
      <c r="AL125" s="1"/>
      <c r="AM125" s="1"/>
      <c r="AN125" s="1"/>
      <c r="AO125" s="1"/>
      <c r="AP125" s="1"/>
    </row>
    <row r="126" spans="1:42" x14ac:dyDescent="0.45">
      <c r="A126" s="16">
        <f t="shared" si="42"/>
        <v>116</v>
      </c>
      <c r="B126" s="17"/>
      <c r="C126" s="28"/>
      <c r="D126" s="29"/>
      <c r="E126" s="30"/>
      <c r="F126" s="31"/>
      <c r="G126" s="1"/>
      <c r="H126" s="22">
        <f t="shared" si="33"/>
        <v>0</v>
      </c>
      <c r="I126" s="19" t="e">
        <f t="shared" si="44"/>
        <v>#DIV/0!</v>
      </c>
      <c r="J126" s="23" t="e">
        <f t="shared" si="45"/>
        <v>#DIV/0!</v>
      </c>
      <c r="K126" s="1"/>
      <c r="L126" s="3">
        <f t="shared" si="34"/>
        <v>116</v>
      </c>
      <c r="M126" s="27">
        <f t="shared" si="35"/>
        <v>0</v>
      </c>
      <c r="N126" s="27">
        <f t="shared" si="36"/>
        <v>0</v>
      </c>
      <c r="O126" s="27">
        <f t="shared" si="37"/>
        <v>0</v>
      </c>
      <c r="P126" s="27">
        <f t="shared" si="38"/>
        <v>0</v>
      </c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3">
        <f t="shared" si="46"/>
        <v>116</v>
      </c>
      <c r="AC126" s="24">
        <f t="shared" si="47"/>
        <v>0</v>
      </c>
      <c r="AD126" s="27">
        <f t="shared" si="39"/>
        <v>0</v>
      </c>
      <c r="AE126" s="24">
        <f t="shared" si="48"/>
        <v>0</v>
      </c>
      <c r="AF126" s="27">
        <f t="shared" si="40"/>
        <v>0</v>
      </c>
      <c r="AG126" s="1"/>
      <c r="AH126" s="1"/>
      <c r="AI126" s="1"/>
      <c r="AJ126" s="1"/>
      <c r="AK126" s="1"/>
      <c r="AL126" s="1"/>
      <c r="AM126" s="1"/>
      <c r="AN126" s="1"/>
      <c r="AO126" s="1"/>
      <c r="AP126" s="1"/>
    </row>
    <row r="127" spans="1:42" x14ac:dyDescent="0.45">
      <c r="A127" s="16">
        <f t="shared" si="42"/>
        <v>117</v>
      </c>
      <c r="B127" s="32"/>
      <c r="C127" s="33"/>
      <c r="D127" s="19"/>
      <c r="E127" s="17"/>
      <c r="F127" s="21"/>
      <c r="G127" s="1"/>
      <c r="H127" s="22">
        <f t="shared" si="33"/>
        <v>0</v>
      </c>
      <c r="I127" s="19" t="e">
        <f t="shared" si="44"/>
        <v>#DIV/0!</v>
      </c>
      <c r="J127" s="23" t="e">
        <f t="shared" si="45"/>
        <v>#DIV/0!</v>
      </c>
      <c r="K127" s="1"/>
      <c r="L127" s="3">
        <f t="shared" si="34"/>
        <v>117</v>
      </c>
      <c r="M127" s="27">
        <f t="shared" si="35"/>
        <v>0</v>
      </c>
      <c r="N127" s="27">
        <f t="shared" si="36"/>
        <v>0</v>
      </c>
      <c r="O127" s="27">
        <f t="shared" si="37"/>
        <v>0</v>
      </c>
      <c r="P127" s="27">
        <f t="shared" si="38"/>
        <v>0</v>
      </c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3">
        <f t="shared" si="46"/>
        <v>117</v>
      </c>
      <c r="AC127" s="24">
        <f t="shared" si="47"/>
        <v>0</v>
      </c>
      <c r="AD127" s="27">
        <f t="shared" si="39"/>
        <v>0</v>
      </c>
      <c r="AE127" s="24">
        <f t="shared" si="48"/>
        <v>0</v>
      </c>
      <c r="AF127" s="27">
        <f t="shared" si="40"/>
        <v>0</v>
      </c>
      <c r="AG127" s="1"/>
      <c r="AH127" s="1"/>
      <c r="AI127" s="1"/>
      <c r="AJ127" s="1"/>
      <c r="AK127" s="1"/>
      <c r="AL127" s="1"/>
      <c r="AM127" s="1"/>
      <c r="AN127" s="1"/>
      <c r="AO127" s="1"/>
      <c r="AP127" s="1"/>
    </row>
    <row r="128" spans="1:42" x14ac:dyDescent="0.45">
      <c r="A128" s="16">
        <f t="shared" si="42"/>
        <v>118</v>
      </c>
      <c r="B128" s="17"/>
      <c r="C128" s="22"/>
      <c r="D128" s="23"/>
      <c r="E128" s="34"/>
      <c r="F128" s="1"/>
      <c r="G128" s="1"/>
      <c r="H128" s="22">
        <f t="shared" si="33"/>
        <v>0</v>
      </c>
      <c r="I128" s="19" t="e">
        <f t="shared" si="44"/>
        <v>#DIV/0!</v>
      </c>
      <c r="J128" s="23" t="e">
        <f t="shared" si="45"/>
        <v>#DIV/0!</v>
      </c>
      <c r="K128" s="1"/>
      <c r="L128" s="3">
        <f t="shared" si="34"/>
        <v>118</v>
      </c>
      <c r="M128" s="27">
        <f t="shared" si="35"/>
        <v>0</v>
      </c>
      <c r="N128" s="27">
        <f t="shared" si="36"/>
        <v>0</v>
      </c>
      <c r="O128" s="27">
        <f t="shared" si="37"/>
        <v>0</v>
      </c>
      <c r="P128" s="27">
        <f t="shared" si="38"/>
        <v>0</v>
      </c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3">
        <f t="shared" si="46"/>
        <v>118</v>
      </c>
      <c r="AC128" s="24">
        <f t="shared" si="47"/>
        <v>0</v>
      </c>
      <c r="AD128" s="27">
        <f t="shared" si="39"/>
        <v>0</v>
      </c>
      <c r="AE128" s="24">
        <f t="shared" si="48"/>
        <v>0</v>
      </c>
      <c r="AF128" s="27">
        <f t="shared" si="40"/>
        <v>0</v>
      </c>
      <c r="AG128" s="1"/>
      <c r="AH128" s="1"/>
      <c r="AI128" s="1"/>
      <c r="AJ128" s="1"/>
      <c r="AK128" s="1"/>
      <c r="AL128" s="1"/>
      <c r="AM128" s="1"/>
      <c r="AN128" s="1"/>
      <c r="AO128" s="1"/>
      <c r="AP128" s="1"/>
    </row>
    <row r="129" spans="1:42" x14ac:dyDescent="0.45">
      <c r="A129" s="16">
        <f t="shared" si="42"/>
        <v>119</v>
      </c>
      <c r="B129" s="22"/>
      <c r="C129" s="22"/>
      <c r="D129" s="23"/>
      <c r="E129" s="1"/>
      <c r="F129" s="1"/>
      <c r="G129" s="1"/>
      <c r="H129" s="1"/>
      <c r="I129" s="19" t="e">
        <f t="shared" si="44"/>
        <v>#DIV/0!</v>
      </c>
      <c r="J129" s="23" t="e">
        <f t="shared" si="45"/>
        <v>#DIV/0!</v>
      </c>
      <c r="K129" s="1"/>
      <c r="L129" s="3">
        <f t="shared" si="34"/>
        <v>119</v>
      </c>
      <c r="M129" s="27">
        <f t="shared" si="35"/>
        <v>0</v>
      </c>
      <c r="N129" s="27">
        <f t="shared" si="36"/>
        <v>0</v>
      </c>
      <c r="O129" s="27">
        <f t="shared" si="37"/>
        <v>0</v>
      </c>
      <c r="P129" s="27">
        <f t="shared" si="38"/>
        <v>0</v>
      </c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3">
        <f t="shared" si="46"/>
        <v>119</v>
      </c>
      <c r="AC129" s="24">
        <f t="shared" si="47"/>
        <v>0</v>
      </c>
      <c r="AD129" s="27">
        <f t="shared" si="39"/>
        <v>0</v>
      </c>
      <c r="AE129" s="24">
        <f t="shared" si="48"/>
        <v>0</v>
      </c>
      <c r="AF129" s="27">
        <f t="shared" si="40"/>
        <v>0</v>
      </c>
      <c r="AG129" s="1"/>
      <c r="AH129" s="1"/>
      <c r="AI129" s="1"/>
      <c r="AJ129" s="1"/>
      <c r="AK129" s="1"/>
      <c r="AL129" s="1"/>
      <c r="AM129" s="1"/>
      <c r="AN129" s="1"/>
      <c r="AO129" s="1"/>
      <c r="AP129" s="1"/>
    </row>
    <row r="130" spans="1:42" x14ac:dyDescent="0.45">
      <c r="A130" s="16">
        <f t="shared" si="42"/>
        <v>120</v>
      </c>
      <c r="B130" s="22"/>
      <c r="C130" s="22"/>
      <c r="D130" s="23"/>
      <c r="E130" s="1"/>
      <c r="F130" s="1"/>
      <c r="G130" s="1"/>
      <c r="H130" s="1"/>
      <c r="I130" s="19" t="e">
        <f t="shared" si="44"/>
        <v>#DIV/0!</v>
      </c>
      <c r="J130" s="23" t="e">
        <f t="shared" si="45"/>
        <v>#DIV/0!</v>
      </c>
      <c r="K130" s="1"/>
      <c r="L130" s="3">
        <f t="shared" si="34"/>
        <v>120</v>
      </c>
      <c r="M130" s="27">
        <f t="shared" si="35"/>
        <v>0</v>
      </c>
      <c r="N130" s="27">
        <f t="shared" si="36"/>
        <v>0</v>
      </c>
      <c r="O130" s="27">
        <f t="shared" si="37"/>
        <v>0</v>
      </c>
      <c r="P130" s="27">
        <f t="shared" si="38"/>
        <v>0</v>
      </c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3">
        <f t="shared" si="46"/>
        <v>120</v>
      </c>
      <c r="AC130" s="24">
        <f t="shared" si="47"/>
        <v>0</v>
      </c>
      <c r="AD130" s="27">
        <f t="shared" si="39"/>
        <v>0</v>
      </c>
      <c r="AE130" s="24">
        <f t="shared" si="48"/>
        <v>0</v>
      </c>
      <c r="AF130" s="27">
        <f t="shared" si="40"/>
        <v>0</v>
      </c>
      <c r="AG130" s="1"/>
      <c r="AH130" s="1"/>
      <c r="AI130" s="1"/>
      <c r="AJ130" s="1"/>
      <c r="AK130" s="1"/>
      <c r="AL130" s="1"/>
      <c r="AM130" s="1"/>
      <c r="AN130" s="1"/>
      <c r="AO130" s="1"/>
      <c r="AP130" s="1"/>
    </row>
    <row r="131" spans="1:42" x14ac:dyDescent="0.45">
      <c r="A131" s="1"/>
      <c r="B131" s="1"/>
      <c r="C131" s="1"/>
      <c r="D131" s="23"/>
      <c r="E131" s="1"/>
      <c r="F131" s="1"/>
      <c r="G131" s="1"/>
      <c r="H131" s="1"/>
      <c r="I131" s="19" t="e">
        <f t="shared" si="44"/>
        <v>#DIV/0!</v>
      </c>
      <c r="J131" s="23" t="e">
        <f t="shared" si="45"/>
        <v>#DIV/0!</v>
      </c>
      <c r="K131" s="1"/>
      <c r="L131" s="3">
        <f t="shared" si="34"/>
        <v>0</v>
      </c>
      <c r="M131" s="27">
        <f t="shared" si="35"/>
        <v>0</v>
      </c>
      <c r="N131" s="27">
        <f t="shared" si="36"/>
        <v>0</v>
      </c>
      <c r="O131" s="27">
        <f t="shared" si="37"/>
        <v>0</v>
      </c>
      <c r="P131" s="27">
        <f t="shared" si="38"/>
        <v>0</v>
      </c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3">
        <f t="shared" si="46"/>
        <v>0</v>
      </c>
      <c r="AC131" s="24">
        <f t="shared" si="47"/>
        <v>0</v>
      </c>
      <c r="AD131" s="27">
        <f t="shared" si="39"/>
        <v>0</v>
      </c>
      <c r="AE131" s="24">
        <f t="shared" si="48"/>
        <v>0</v>
      </c>
      <c r="AF131" s="27">
        <f t="shared" si="40"/>
        <v>0</v>
      </c>
      <c r="AG131" s="1"/>
      <c r="AH131" s="1"/>
      <c r="AI131" s="1"/>
      <c r="AJ131" s="1"/>
      <c r="AK131" s="1"/>
      <c r="AL131" s="1"/>
      <c r="AM131" s="1"/>
      <c r="AN131" s="1"/>
      <c r="AO131" s="1"/>
      <c r="AP131" s="1"/>
    </row>
    <row r="132" spans="1:42" x14ac:dyDescent="0.45">
      <c r="A132" s="1"/>
      <c r="B132" s="1"/>
      <c r="C132" s="1"/>
      <c r="D132" s="23"/>
      <c r="E132" s="1"/>
      <c r="F132" s="1"/>
      <c r="G132" s="1"/>
      <c r="H132" s="1"/>
      <c r="I132" s="19" t="e">
        <f t="shared" si="44"/>
        <v>#DIV/0!</v>
      </c>
      <c r="J132" s="23" t="e">
        <f t="shared" si="45"/>
        <v>#DIV/0!</v>
      </c>
      <c r="K132" s="1"/>
      <c r="L132" s="3">
        <f t="shared" si="34"/>
        <v>0</v>
      </c>
      <c r="M132" s="27">
        <f t="shared" si="35"/>
        <v>0</v>
      </c>
      <c r="N132" s="27">
        <f t="shared" si="36"/>
        <v>0</v>
      </c>
      <c r="O132" s="27">
        <f t="shared" si="37"/>
        <v>0</v>
      </c>
      <c r="P132" s="27">
        <f t="shared" si="38"/>
        <v>0</v>
      </c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3">
        <f t="shared" si="46"/>
        <v>0</v>
      </c>
      <c r="AC132" s="24">
        <f t="shared" si="47"/>
        <v>0</v>
      </c>
      <c r="AD132" s="27">
        <f t="shared" si="39"/>
        <v>0</v>
      </c>
      <c r="AE132" s="24">
        <f t="shared" si="48"/>
        <v>0</v>
      </c>
      <c r="AF132" s="27">
        <f t="shared" si="40"/>
        <v>0</v>
      </c>
      <c r="AG132" s="1"/>
      <c r="AH132" s="1"/>
      <c r="AI132" s="1"/>
      <c r="AJ132" s="1"/>
      <c r="AK132" s="1"/>
      <c r="AL132" s="1"/>
      <c r="AM132" s="1"/>
      <c r="AN132" s="1"/>
      <c r="AO132" s="1"/>
      <c r="AP132" s="1"/>
    </row>
    <row r="133" spans="1:42" x14ac:dyDescent="0.45">
      <c r="A133" s="1"/>
      <c r="B133" s="1"/>
      <c r="C133" s="1"/>
      <c r="D133" s="23"/>
      <c r="E133" s="1"/>
      <c r="F133" s="1"/>
      <c r="G133" s="1"/>
      <c r="H133" s="1"/>
      <c r="I133" s="19" t="e">
        <f t="shared" si="44"/>
        <v>#DIV/0!</v>
      </c>
      <c r="J133" s="23" t="e">
        <f t="shared" si="45"/>
        <v>#DIV/0!</v>
      </c>
      <c r="K133" s="1"/>
      <c r="L133" s="3">
        <f t="shared" si="34"/>
        <v>0</v>
      </c>
      <c r="M133" s="27">
        <f t="shared" si="35"/>
        <v>0</v>
      </c>
      <c r="N133" s="27">
        <f t="shared" si="36"/>
        <v>0</v>
      </c>
      <c r="O133" s="27">
        <f t="shared" si="37"/>
        <v>0</v>
      </c>
      <c r="P133" s="27">
        <f t="shared" si="38"/>
        <v>0</v>
      </c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3">
        <f t="shared" si="46"/>
        <v>0</v>
      </c>
      <c r="AC133" s="24">
        <f t="shared" si="47"/>
        <v>0</v>
      </c>
      <c r="AD133" s="27">
        <f t="shared" si="39"/>
        <v>0</v>
      </c>
      <c r="AE133" s="24">
        <f t="shared" si="48"/>
        <v>0</v>
      </c>
      <c r="AF133" s="27">
        <f t="shared" si="40"/>
        <v>0</v>
      </c>
      <c r="AG133" s="1"/>
      <c r="AH133" s="1"/>
      <c r="AI133" s="1"/>
      <c r="AJ133" s="1"/>
      <c r="AK133" s="1"/>
      <c r="AL133" s="1"/>
      <c r="AM133" s="1"/>
      <c r="AN133" s="1"/>
      <c r="AO133" s="1"/>
      <c r="AP133" s="1"/>
    </row>
    <row r="134" spans="1:42" x14ac:dyDescent="0.45">
      <c r="A134" s="1"/>
      <c r="B134" s="1"/>
      <c r="C134" s="1"/>
      <c r="D134" s="23"/>
      <c r="E134" s="1"/>
      <c r="F134" s="1"/>
      <c r="G134" s="1"/>
      <c r="H134" s="1"/>
      <c r="I134" s="19" t="e">
        <f t="shared" si="44"/>
        <v>#DIV/0!</v>
      </c>
      <c r="J134" s="23" t="e">
        <f t="shared" si="45"/>
        <v>#DIV/0!</v>
      </c>
      <c r="K134" s="1"/>
      <c r="L134" s="3">
        <f t="shared" si="34"/>
        <v>0</v>
      </c>
      <c r="M134" s="27">
        <f t="shared" si="35"/>
        <v>0</v>
      </c>
      <c r="N134" s="27">
        <f t="shared" si="36"/>
        <v>0</v>
      </c>
      <c r="O134" s="27">
        <f t="shared" si="37"/>
        <v>0</v>
      </c>
      <c r="P134" s="27">
        <f t="shared" si="38"/>
        <v>0</v>
      </c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3">
        <f t="shared" si="46"/>
        <v>0</v>
      </c>
      <c r="AC134" s="24">
        <f t="shared" si="47"/>
        <v>0</v>
      </c>
      <c r="AD134" s="27">
        <f t="shared" si="39"/>
        <v>0</v>
      </c>
      <c r="AE134" s="24">
        <f t="shared" si="48"/>
        <v>0</v>
      </c>
      <c r="AF134" s="27">
        <f t="shared" si="40"/>
        <v>0</v>
      </c>
      <c r="AG134" s="1"/>
      <c r="AH134" s="1"/>
      <c r="AI134" s="1"/>
      <c r="AJ134" s="1"/>
      <c r="AK134" s="1"/>
      <c r="AL134" s="1"/>
      <c r="AM134" s="1"/>
      <c r="AN134" s="1"/>
      <c r="AO134" s="1"/>
      <c r="AP134" s="1"/>
    </row>
    <row r="135" spans="1:42" x14ac:dyDescent="0.45">
      <c r="A135" s="1"/>
      <c r="B135" s="1"/>
      <c r="C135" s="1"/>
      <c r="D135" s="23"/>
      <c r="E135" s="1"/>
      <c r="F135" s="1"/>
      <c r="G135" s="1"/>
      <c r="H135" s="1"/>
      <c r="I135" s="19" t="e">
        <f t="shared" si="44"/>
        <v>#DIV/0!</v>
      </c>
      <c r="J135" s="23" t="e">
        <f t="shared" si="45"/>
        <v>#DIV/0!</v>
      </c>
      <c r="K135" s="1"/>
      <c r="L135" s="3">
        <f t="shared" si="34"/>
        <v>0</v>
      </c>
      <c r="M135" s="27">
        <f t="shared" si="35"/>
        <v>0</v>
      </c>
      <c r="N135" s="27">
        <f t="shared" si="36"/>
        <v>0</v>
      </c>
      <c r="O135" s="27">
        <f t="shared" si="37"/>
        <v>0</v>
      </c>
      <c r="P135" s="27">
        <f t="shared" si="38"/>
        <v>0</v>
      </c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3">
        <f t="shared" si="46"/>
        <v>0</v>
      </c>
      <c r="AC135" s="24">
        <f t="shared" si="47"/>
        <v>0</v>
      </c>
      <c r="AD135" s="27">
        <f t="shared" si="39"/>
        <v>0</v>
      </c>
      <c r="AE135" s="24">
        <f t="shared" si="48"/>
        <v>0</v>
      </c>
      <c r="AF135" s="27">
        <f t="shared" si="40"/>
        <v>0</v>
      </c>
      <c r="AG135" s="1"/>
      <c r="AH135" s="1"/>
      <c r="AI135" s="1"/>
      <c r="AJ135" s="1"/>
      <c r="AK135" s="1"/>
      <c r="AL135" s="1"/>
      <c r="AM135" s="1"/>
      <c r="AN135" s="1"/>
      <c r="AO135" s="1"/>
      <c r="AP135" s="1"/>
    </row>
    <row r="136" spans="1:42" x14ac:dyDescent="0.45">
      <c r="A136" s="1"/>
      <c r="B136" s="1"/>
      <c r="C136" s="1"/>
      <c r="D136" s="1"/>
      <c r="E136" s="1"/>
      <c r="F136" s="1"/>
      <c r="G136" s="1"/>
      <c r="H136" s="1"/>
      <c r="I136" s="19" t="e">
        <f t="shared" si="44"/>
        <v>#DIV/0!</v>
      </c>
      <c r="J136" s="23" t="e">
        <f t="shared" si="45"/>
        <v>#DIV/0!</v>
      </c>
      <c r="K136" s="1"/>
      <c r="L136" s="3">
        <f t="shared" si="34"/>
        <v>0</v>
      </c>
      <c r="M136" s="27">
        <f t="shared" si="35"/>
        <v>0</v>
      </c>
      <c r="N136" s="27">
        <f t="shared" si="36"/>
        <v>0</v>
      </c>
      <c r="O136" s="27">
        <f t="shared" si="37"/>
        <v>0</v>
      </c>
      <c r="P136" s="27">
        <f t="shared" si="38"/>
        <v>0</v>
      </c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3">
        <f t="shared" si="46"/>
        <v>0</v>
      </c>
      <c r="AC136" s="24">
        <f t="shared" si="47"/>
        <v>0</v>
      </c>
      <c r="AD136" s="27">
        <f t="shared" si="39"/>
        <v>0</v>
      </c>
      <c r="AE136" s="24">
        <f t="shared" si="48"/>
        <v>0</v>
      </c>
      <c r="AF136" s="27">
        <f t="shared" si="40"/>
        <v>0</v>
      </c>
      <c r="AG136" s="1"/>
      <c r="AH136" s="1"/>
      <c r="AI136" s="1"/>
      <c r="AJ136" s="1"/>
      <c r="AK136" s="1"/>
      <c r="AL136" s="1"/>
      <c r="AM136" s="1"/>
      <c r="AN136" s="1"/>
      <c r="AO136" s="1"/>
      <c r="AP136" s="1"/>
    </row>
    <row r="137" spans="1:42" x14ac:dyDescent="0.45">
      <c r="A137" s="1"/>
      <c r="B137" s="1"/>
      <c r="C137" s="1"/>
      <c r="D137" s="1"/>
      <c r="E137" s="1"/>
      <c r="F137" s="1"/>
      <c r="G137" s="1"/>
      <c r="H137" s="1"/>
      <c r="I137" s="19" t="e">
        <f t="shared" si="44"/>
        <v>#DIV/0!</v>
      </c>
      <c r="J137" s="23" t="e">
        <f t="shared" si="45"/>
        <v>#DIV/0!</v>
      </c>
      <c r="K137" s="1"/>
      <c r="L137" s="3">
        <f t="shared" si="34"/>
        <v>0</v>
      </c>
      <c r="M137" s="27">
        <f t="shared" si="35"/>
        <v>0</v>
      </c>
      <c r="N137" s="27">
        <f t="shared" si="36"/>
        <v>0</v>
      </c>
      <c r="O137" s="27">
        <f t="shared" si="37"/>
        <v>0</v>
      </c>
      <c r="P137" s="27">
        <f t="shared" si="38"/>
        <v>0</v>
      </c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3">
        <f t="shared" si="46"/>
        <v>0</v>
      </c>
      <c r="AC137" s="24">
        <f t="shared" si="47"/>
        <v>0</v>
      </c>
      <c r="AD137" s="27">
        <f t="shared" si="39"/>
        <v>0</v>
      </c>
      <c r="AE137" s="24">
        <f t="shared" si="48"/>
        <v>0</v>
      </c>
      <c r="AF137" s="27">
        <f t="shared" si="40"/>
        <v>0</v>
      </c>
      <c r="AG137" s="1"/>
      <c r="AH137" s="1"/>
      <c r="AI137" s="1"/>
      <c r="AJ137" s="1"/>
      <c r="AK137" s="1"/>
      <c r="AL137" s="1"/>
      <c r="AM137" s="1"/>
      <c r="AN137" s="1"/>
      <c r="AO137" s="1"/>
      <c r="AP137" s="1"/>
    </row>
    <row r="138" spans="1:42" x14ac:dyDescent="0.45">
      <c r="A138" s="1"/>
      <c r="B138" s="1"/>
      <c r="C138" s="1"/>
      <c r="D138" s="1"/>
      <c r="E138" s="1"/>
      <c r="F138" s="1"/>
      <c r="G138" s="1"/>
      <c r="H138" s="1"/>
      <c r="I138" s="19" t="e">
        <f t="shared" si="44"/>
        <v>#DIV/0!</v>
      </c>
      <c r="J138" s="23" t="e">
        <f t="shared" si="45"/>
        <v>#DIV/0!</v>
      </c>
      <c r="K138" s="1"/>
      <c r="L138" s="3">
        <f t="shared" ref="L138:L150" si="57">A138</f>
        <v>0</v>
      </c>
      <c r="M138" s="27">
        <f t="shared" ref="M138:M150" si="58">B138*$P$4^L138</f>
        <v>0</v>
      </c>
      <c r="N138" s="27">
        <f t="shared" ref="N138:N150" si="59">N139+M138</f>
        <v>0</v>
      </c>
      <c r="O138" s="27">
        <f t="shared" ref="O138:O150" si="60">C138*$P$4^(L138+1)</f>
        <v>0</v>
      </c>
      <c r="P138" s="27">
        <f t="shared" ref="P138:P150" si="61">P139+O138</f>
        <v>0</v>
      </c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3">
        <f t="shared" si="46"/>
        <v>0</v>
      </c>
      <c r="AC138" s="24">
        <f t="shared" si="47"/>
        <v>0</v>
      </c>
      <c r="AD138" s="27">
        <f t="shared" ref="AD138:AD150" si="62">AD139+AC138</f>
        <v>0</v>
      </c>
      <c r="AE138" s="24">
        <f t="shared" si="48"/>
        <v>0</v>
      </c>
      <c r="AF138" s="27">
        <f t="shared" ref="AF138:AF150" si="63">AF139+AE138</f>
        <v>0</v>
      </c>
      <c r="AG138" s="1"/>
      <c r="AH138" s="1"/>
      <c r="AI138" s="1"/>
      <c r="AJ138" s="1"/>
      <c r="AK138" s="1"/>
      <c r="AL138" s="1"/>
      <c r="AM138" s="1"/>
      <c r="AN138" s="1"/>
      <c r="AO138" s="1"/>
      <c r="AP138" s="1"/>
    </row>
    <row r="139" spans="1:42" x14ac:dyDescent="0.45">
      <c r="A139" s="1"/>
      <c r="B139" s="1"/>
      <c r="C139" s="1"/>
      <c r="D139" s="1"/>
      <c r="E139" s="1"/>
      <c r="F139" s="1"/>
      <c r="G139" s="1"/>
      <c r="H139" s="1"/>
      <c r="I139" s="19" t="e">
        <f t="shared" ref="I139:I150" si="64">+H140/B139</f>
        <v>#DIV/0!</v>
      </c>
      <c r="J139" s="23" t="e">
        <f t="shared" ref="J139:J150" si="65">I139+0.5</f>
        <v>#DIV/0!</v>
      </c>
      <c r="K139" s="1"/>
      <c r="L139" s="3">
        <f t="shared" si="57"/>
        <v>0</v>
      </c>
      <c r="M139" s="27">
        <f t="shared" si="58"/>
        <v>0</v>
      </c>
      <c r="N139" s="27">
        <f t="shared" si="59"/>
        <v>0</v>
      </c>
      <c r="O139" s="27">
        <f t="shared" si="60"/>
        <v>0</v>
      </c>
      <c r="P139" s="27">
        <f t="shared" si="61"/>
        <v>0</v>
      </c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3">
        <f t="shared" ref="AB139:AB150" si="66">L139</f>
        <v>0</v>
      </c>
      <c r="AC139" s="24">
        <f t="shared" ref="AC139:AC150" si="67">B139*$AF$4^AB139</f>
        <v>0</v>
      </c>
      <c r="AD139" s="27">
        <f t="shared" si="62"/>
        <v>0</v>
      </c>
      <c r="AE139" s="24">
        <f t="shared" ref="AE139:AE150" si="68">C139*$AF$4^(AB139+1)</f>
        <v>0</v>
      </c>
      <c r="AF139" s="27">
        <f t="shared" si="63"/>
        <v>0</v>
      </c>
      <c r="AG139" s="1"/>
      <c r="AH139" s="1"/>
      <c r="AI139" s="1"/>
      <c r="AJ139" s="1"/>
      <c r="AK139" s="1"/>
      <c r="AL139" s="1"/>
      <c r="AM139" s="1"/>
      <c r="AN139" s="1"/>
      <c r="AO139" s="1"/>
      <c r="AP139" s="1"/>
    </row>
    <row r="140" spans="1:42" x14ac:dyDescent="0.45">
      <c r="A140" s="1"/>
      <c r="B140" s="1"/>
      <c r="C140" s="1"/>
      <c r="D140" s="1"/>
      <c r="E140" s="1"/>
      <c r="F140" s="1"/>
      <c r="G140" s="1"/>
      <c r="H140" s="1"/>
      <c r="I140" s="19" t="e">
        <f t="shared" si="64"/>
        <v>#DIV/0!</v>
      </c>
      <c r="J140" s="23" t="e">
        <f t="shared" si="65"/>
        <v>#DIV/0!</v>
      </c>
      <c r="K140" s="1"/>
      <c r="L140" s="3">
        <f t="shared" si="57"/>
        <v>0</v>
      </c>
      <c r="M140" s="27">
        <f t="shared" si="58"/>
        <v>0</v>
      </c>
      <c r="N140" s="27">
        <f t="shared" si="59"/>
        <v>0</v>
      </c>
      <c r="O140" s="27">
        <f t="shared" si="60"/>
        <v>0</v>
      </c>
      <c r="P140" s="27">
        <f t="shared" si="61"/>
        <v>0</v>
      </c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3">
        <f t="shared" si="66"/>
        <v>0</v>
      </c>
      <c r="AC140" s="24">
        <f t="shared" si="67"/>
        <v>0</v>
      </c>
      <c r="AD140" s="27">
        <f t="shared" si="62"/>
        <v>0</v>
      </c>
      <c r="AE140" s="24">
        <f t="shared" si="68"/>
        <v>0</v>
      </c>
      <c r="AF140" s="27">
        <f t="shared" si="63"/>
        <v>0</v>
      </c>
      <c r="AG140" s="1"/>
      <c r="AH140" s="1"/>
      <c r="AI140" s="1"/>
      <c r="AJ140" s="1"/>
      <c r="AK140" s="1"/>
      <c r="AL140" s="1"/>
      <c r="AM140" s="1"/>
      <c r="AN140" s="1"/>
      <c r="AO140" s="1"/>
      <c r="AP140" s="1"/>
    </row>
    <row r="141" spans="1:42" x14ac:dyDescent="0.45">
      <c r="A141" s="1"/>
      <c r="B141" s="1"/>
      <c r="C141" s="1"/>
      <c r="D141" s="1"/>
      <c r="E141" s="1"/>
      <c r="F141" s="1"/>
      <c r="G141" s="1"/>
      <c r="H141" s="1"/>
      <c r="I141" s="19" t="e">
        <f t="shared" si="64"/>
        <v>#DIV/0!</v>
      </c>
      <c r="J141" s="23" t="e">
        <f t="shared" si="65"/>
        <v>#DIV/0!</v>
      </c>
      <c r="K141" s="1"/>
      <c r="L141" s="3">
        <f t="shared" si="57"/>
        <v>0</v>
      </c>
      <c r="M141" s="27">
        <f t="shared" si="58"/>
        <v>0</v>
      </c>
      <c r="N141" s="27">
        <f t="shared" si="59"/>
        <v>0</v>
      </c>
      <c r="O141" s="27">
        <f t="shared" si="60"/>
        <v>0</v>
      </c>
      <c r="P141" s="27">
        <f t="shared" si="61"/>
        <v>0</v>
      </c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3">
        <f t="shared" si="66"/>
        <v>0</v>
      </c>
      <c r="AC141" s="24">
        <f t="shared" si="67"/>
        <v>0</v>
      </c>
      <c r="AD141" s="27">
        <f t="shared" si="62"/>
        <v>0</v>
      </c>
      <c r="AE141" s="24">
        <f t="shared" si="68"/>
        <v>0</v>
      </c>
      <c r="AF141" s="27">
        <f t="shared" si="63"/>
        <v>0</v>
      </c>
      <c r="AG141" s="1"/>
      <c r="AH141" s="1"/>
      <c r="AI141" s="1"/>
      <c r="AJ141" s="1"/>
      <c r="AK141" s="1"/>
      <c r="AL141" s="1"/>
      <c r="AM141" s="1"/>
      <c r="AN141" s="1"/>
      <c r="AO141" s="1"/>
      <c r="AP141" s="1"/>
    </row>
    <row r="142" spans="1:42" x14ac:dyDescent="0.45">
      <c r="A142" s="1"/>
      <c r="B142" s="1"/>
      <c r="C142" s="1"/>
      <c r="D142" s="1"/>
      <c r="E142" s="1"/>
      <c r="F142" s="1"/>
      <c r="G142" s="1"/>
      <c r="H142" s="1"/>
      <c r="I142" s="19" t="e">
        <f t="shared" si="64"/>
        <v>#DIV/0!</v>
      </c>
      <c r="J142" s="23" t="e">
        <f t="shared" si="65"/>
        <v>#DIV/0!</v>
      </c>
      <c r="K142" s="1"/>
      <c r="L142" s="3">
        <f t="shared" si="57"/>
        <v>0</v>
      </c>
      <c r="M142" s="27">
        <f t="shared" si="58"/>
        <v>0</v>
      </c>
      <c r="N142" s="27">
        <f t="shared" si="59"/>
        <v>0</v>
      </c>
      <c r="O142" s="27">
        <f t="shared" si="60"/>
        <v>0</v>
      </c>
      <c r="P142" s="27">
        <f t="shared" si="61"/>
        <v>0</v>
      </c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3">
        <f t="shared" si="66"/>
        <v>0</v>
      </c>
      <c r="AC142" s="24">
        <f t="shared" si="67"/>
        <v>0</v>
      </c>
      <c r="AD142" s="27">
        <f t="shared" si="62"/>
        <v>0</v>
      </c>
      <c r="AE142" s="24">
        <f t="shared" si="68"/>
        <v>0</v>
      </c>
      <c r="AF142" s="27">
        <f t="shared" si="63"/>
        <v>0</v>
      </c>
      <c r="AG142" s="1"/>
      <c r="AH142" s="1"/>
      <c r="AI142" s="1"/>
      <c r="AJ142" s="1"/>
      <c r="AK142" s="1"/>
      <c r="AL142" s="1"/>
      <c r="AM142" s="1"/>
      <c r="AN142" s="1"/>
      <c r="AO142" s="1"/>
      <c r="AP142" s="1"/>
    </row>
    <row r="143" spans="1:42" x14ac:dyDescent="0.45">
      <c r="A143" s="1"/>
      <c r="B143" s="1"/>
      <c r="C143" s="1"/>
      <c r="D143" s="1"/>
      <c r="E143" s="1"/>
      <c r="F143" s="1"/>
      <c r="G143" s="1"/>
      <c r="H143" s="1"/>
      <c r="I143" s="19" t="e">
        <f t="shared" si="64"/>
        <v>#DIV/0!</v>
      </c>
      <c r="J143" s="23" t="e">
        <f t="shared" si="65"/>
        <v>#DIV/0!</v>
      </c>
      <c r="K143" s="1"/>
      <c r="L143" s="3">
        <f t="shared" si="57"/>
        <v>0</v>
      </c>
      <c r="M143" s="27">
        <f t="shared" si="58"/>
        <v>0</v>
      </c>
      <c r="N143" s="27">
        <f t="shared" si="59"/>
        <v>0</v>
      </c>
      <c r="O143" s="27">
        <f t="shared" si="60"/>
        <v>0</v>
      </c>
      <c r="P143" s="27">
        <f t="shared" si="61"/>
        <v>0</v>
      </c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3">
        <f t="shared" si="66"/>
        <v>0</v>
      </c>
      <c r="AC143" s="24">
        <f t="shared" si="67"/>
        <v>0</v>
      </c>
      <c r="AD143" s="27">
        <f t="shared" si="62"/>
        <v>0</v>
      </c>
      <c r="AE143" s="24">
        <f t="shared" si="68"/>
        <v>0</v>
      </c>
      <c r="AF143" s="27">
        <f t="shared" si="63"/>
        <v>0</v>
      </c>
      <c r="AG143" s="1"/>
      <c r="AH143" s="1"/>
      <c r="AI143" s="1"/>
      <c r="AJ143" s="1"/>
      <c r="AK143" s="1"/>
      <c r="AL143" s="1"/>
      <c r="AM143" s="1"/>
      <c r="AN143" s="1"/>
      <c r="AO143" s="1"/>
      <c r="AP143" s="1"/>
    </row>
    <row r="144" spans="1:42" x14ac:dyDescent="0.45">
      <c r="A144" s="1"/>
      <c r="B144" s="1"/>
      <c r="C144" s="1"/>
      <c r="D144" s="1"/>
      <c r="E144" s="1"/>
      <c r="F144" s="1"/>
      <c r="G144" s="1"/>
      <c r="H144" s="1"/>
      <c r="I144" s="19" t="e">
        <f t="shared" si="64"/>
        <v>#DIV/0!</v>
      </c>
      <c r="J144" s="23" t="e">
        <f t="shared" si="65"/>
        <v>#DIV/0!</v>
      </c>
      <c r="K144" s="1"/>
      <c r="L144" s="3">
        <f t="shared" si="57"/>
        <v>0</v>
      </c>
      <c r="M144" s="27">
        <f t="shared" si="58"/>
        <v>0</v>
      </c>
      <c r="N144" s="27">
        <f t="shared" si="59"/>
        <v>0</v>
      </c>
      <c r="O144" s="27">
        <f t="shared" si="60"/>
        <v>0</v>
      </c>
      <c r="P144" s="27">
        <f t="shared" si="61"/>
        <v>0</v>
      </c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3">
        <f t="shared" si="66"/>
        <v>0</v>
      </c>
      <c r="AC144" s="24">
        <f t="shared" si="67"/>
        <v>0</v>
      </c>
      <c r="AD144" s="27">
        <f t="shared" si="62"/>
        <v>0</v>
      </c>
      <c r="AE144" s="24">
        <f t="shared" si="68"/>
        <v>0</v>
      </c>
      <c r="AF144" s="27">
        <f t="shared" si="63"/>
        <v>0</v>
      </c>
      <c r="AG144" s="1"/>
      <c r="AH144" s="1"/>
      <c r="AI144" s="1"/>
      <c r="AJ144" s="1"/>
      <c r="AK144" s="1"/>
      <c r="AL144" s="1"/>
      <c r="AM144" s="1"/>
      <c r="AN144" s="1"/>
      <c r="AO144" s="1"/>
      <c r="AP144" s="1"/>
    </row>
    <row r="145" spans="1:42" x14ac:dyDescent="0.45">
      <c r="A145" s="1"/>
      <c r="B145" s="1"/>
      <c r="C145" s="1"/>
      <c r="D145" s="1"/>
      <c r="E145" s="1"/>
      <c r="F145" s="1"/>
      <c r="G145" s="1"/>
      <c r="H145" s="1"/>
      <c r="I145" s="19" t="e">
        <f t="shared" si="64"/>
        <v>#DIV/0!</v>
      </c>
      <c r="J145" s="23" t="e">
        <f t="shared" si="65"/>
        <v>#DIV/0!</v>
      </c>
      <c r="K145" s="1"/>
      <c r="L145" s="3">
        <f t="shared" si="57"/>
        <v>0</v>
      </c>
      <c r="M145" s="27">
        <f t="shared" si="58"/>
        <v>0</v>
      </c>
      <c r="N145" s="27">
        <f t="shared" si="59"/>
        <v>0</v>
      </c>
      <c r="O145" s="27">
        <f t="shared" si="60"/>
        <v>0</v>
      </c>
      <c r="P145" s="27">
        <f t="shared" si="61"/>
        <v>0</v>
      </c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3">
        <f t="shared" si="66"/>
        <v>0</v>
      </c>
      <c r="AC145" s="24">
        <f t="shared" si="67"/>
        <v>0</v>
      </c>
      <c r="AD145" s="27">
        <f t="shared" si="62"/>
        <v>0</v>
      </c>
      <c r="AE145" s="24">
        <f t="shared" si="68"/>
        <v>0</v>
      </c>
      <c r="AF145" s="27">
        <f t="shared" si="63"/>
        <v>0</v>
      </c>
      <c r="AG145" s="1"/>
      <c r="AH145" s="1"/>
      <c r="AI145" s="1"/>
      <c r="AJ145" s="1"/>
      <c r="AK145" s="1"/>
      <c r="AL145" s="1"/>
      <c r="AM145" s="1"/>
      <c r="AN145" s="1"/>
      <c r="AO145" s="1"/>
      <c r="AP145" s="1"/>
    </row>
    <row r="146" spans="1:42" x14ac:dyDescent="0.45">
      <c r="A146" s="1"/>
      <c r="B146" s="1"/>
      <c r="C146" s="1"/>
      <c r="D146" s="1"/>
      <c r="E146" s="1"/>
      <c r="F146" s="1"/>
      <c r="G146" s="1"/>
      <c r="H146" s="1"/>
      <c r="I146" s="19" t="e">
        <f t="shared" si="64"/>
        <v>#DIV/0!</v>
      </c>
      <c r="J146" s="23" t="e">
        <f t="shared" si="65"/>
        <v>#DIV/0!</v>
      </c>
      <c r="K146" s="1"/>
      <c r="L146" s="3">
        <f t="shared" si="57"/>
        <v>0</v>
      </c>
      <c r="M146" s="27">
        <f t="shared" si="58"/>
        <v>0</v>
      </c>
      <c r="N146" s="27">
        <f t="shared" si="59"/>
        <v>0</v>
      </c>
      <c r="O146" s="27">
        <f t="shared" si="60"/>
        <v>0</v>
      </c>
      <c r="P146" s="27">
        <f t="shared" si="61"/>
        <v>0</v>
      </c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3">
        <f t="shared" si="66"/>
        <v>0</v>
      </c>
      <c r="AC146" s="24">
        <f t="shared" si="67"/>
        <v>0</v>
      </c>
      <c r="AD146" s="27">
        <f t="shared" si="62"/>
        <v>0</v>
      </c>
      <c r="AE146" s="24">
        <f t="shared" si="68"/>
        <v>0</v>
      </c>
      <c r="AF146" s="27">
        <f t="shared" si="63"/>
        <v>0</v>
      </c>
      <c r="AG146" s="1"/>
      <c r="AH146" s="1"/>
      <c r="AI146" s="1"/>
      <c r="AJ146" s="1"/>
      <c r="AK146" s="1"/>
      <c r="AL146" s="1"/>
      <c r="AM146" s="1"/>
      <c r="AN146" s="1"/>
      <c r="AO146" s="1"/>
      <c r="AP146" s="1"/>
    </row>
    <row r="147" spans="1:42" x14ac:dyDescent="0.45">
      <c r="A147" s="1"/>
      <c r="B147" s="1"/>
      <c r="C147" s="1"/>
      <c r="D147" s="1"/>
      <c r="E147" s="1"/>
      <c r="F147" s="1"/>
      <c r="G147" s="1"/>
      <c r="H147" s="1"/>
      <c r="I147" s="19" t="e">
        <f t="shared" si="64"/>
        <v>#DIV/0!</v>
      </c>
      <c r="J147" s="23" t="e">
        <f t="shared" si="65"/>
        <v>#DIV/0!</v>
      </c>
      <c r="K147" s="1"/>
      <c r="L147" s="3">
        <f t="shared" si="57"/>
        <v>0</v>
      </c>
      <c r="M147" s="27">
        <f t="shared" si="58"/>
        <v>0</v>
      </c>
      <c r="N147" s="27">
        <f t="shared" si="59"/>
        <v>0</v>
      </c>
      <c r="O147" s="27">
        <f t="shared" si="60"/>
        <v>0</v>
      </c>
      <c r="P147" s="27">
        <f t="shared" si="61"/>
        <v>0</v>
      </c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3">
        <f t="shared" si="66"/>
        <v>0</v>
      </c>
      <c r="AC147" s="24">
        <f t="shared" si="67"/>
        <v>0</v>
      </c>
      <c r="AD147" s="27">
        <f t="shared" si="62"/>
        <v>0</v>
      </c>
      <c r="AE147" s="24">
        <f t="shared" si="68"/>
        <v>0</v>
      </c>
      <c r="AF147" s="27">
        <f t="shared" si="63"/>
        <v>0</v>
      </c>
      <c r="AG147" s="1"/>
      <c r="AH147" s="1"/>
      <c r="AI147" s="1"/>
      <c r="AJ147" s="1"/>
      <c r="AK147" s="1"/>
      <c r="AL147" s="1"/>
      <c r="AM147" s="1"/>
      <c r="AN147" s="1"/>
      <c r="AO147" s="1"/>
      <c r="AP147" s="1"/>
    </row>
    <row r="148" spans="1:42" x14ac:dyDescent="0.45">
      <c r="A148" s="1"/>
      <c r="B148" s="1"/>
      <c r="C148" s="1"/>
      <c r="D148" s="1"/>
      <c r="E148" s="1"/>
      <c r="F148" s="1"/>
      <c r="G148" s="1"/>
      <c r="H148" s="1"/>
      <c r="I148" s="19" t="e">
        <f t="shared" si="64"/>
        <v>#DIV/0!</v>
      </c>
      <c r="J148" s="23" t="e">
        <f t="shared" si="65"/>
        <v>#DIV/0!</v>
      </c>
      <c r="K148" s="1"/>
      <c r="L148" s="3">
        <f t="shared" si="57"/>
        <v>0</v>
      </c>
      <c r="M148" s="27">
        <f t="shared" si="58"/>
        <v>0</v>
      </c>
      <c r="N148" s="27">
        <f t="shared" si="59"/>
        <v>0</v>
      </c>
      <c r="O148" s="27">
        <f t="shared" si="60"/>
        <v>0</v>
      </c>
      <c r="P148" s="27">
        <f t="shared" si="61"/>
        <v>0</v>
      </c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3">
        <f t="shared" si="66"/>
        <v>0</v>
      </c>
      <c r="AC148" s="24">
        <f t="shared" si="67"/>
        <v>0</v>
      </c>
      <c r="AD148" s="27">
        <f t="shared" si="62"/>
        <v>0</v>
      </c>
      <c r="AE148" s="24">
        <f t="shared" si="68"/>
        <v>0</v>
      </c>
      <c r="AF148" s="27">
        <f t="shared" si="63"/>
        <v>0</v>
      </c>
      <c r="AG148" s="1"/>
      <c r="AH148" s="1"/>
      <c r="AI148" s="1"/>
      <c r="AJ148" s="1"/>
      <c r="AK148" s="1"/>
      <c r="AL148" s="1"/>
      <c r="AM148" s="1"/>
      <c r="AN148" s="1"/>
      <c r="AO148" s="1"/>
      <c r="AP148" s="1"/>
    </row>
    <row r="149" spans="1:42" x14ac:dyDescent="0.45">
      <c r="A149" s="1"/>
      <c r="B149" s="1"/>
      <c r="C149" s="1"/>
      <c r="D149" s="1"/>
      <c r="E149" s="1"/>
      <c r="F149" s="1"/>
      <c r="G149" s="1"/>
      <c r="H149" s="1"/>
      <c r="I149" s="19" t="e">
        <f t="shared" si="64"/>
        <v>#DIV/0!</v>
      </c>
      <c r="J149" s="23" t="e">
        <f t="shared" si="65"/>
        <v>#DIV/0!</v>
      </c>
      <c r="K149" s="1"/>
      <c r="L149" s="3">
        <f t="shared" si="57"/>
        <v>0</v>
      </c>
      <c r="M149" s="27">
        <f t="shared" si="58"/>
        <v>0</v>
      </c>
      <c r="N149" s="27">
        <f t="shared" si="59"/>
        <v>0</v>
      </c>
      <c r="O149" s="27">
        <f t="shared" si="60"/>
        <v>0</v>
      </c>
      <c r="P149" s="27">
        <f t="shared" si="61"/>
        <v>0</v>
      </c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3">
        <f t="shared" si="66"/>
        <v>0</v>
      </c>
      <c r="AC149" s="24">
        <f t="shared" si="67"/>
        <v>0</v>
      </c>
      <c r="AD149" s="27">
        <f t="shared" si="62"/>
        <v>0</v>
      </c>
      <c r="AE149" s="24">
        <f t="shared" si="68"/>
        <v>0</v>
      </c>
      <c r="AF149" s="27">
        <f t="shared" si="63"/>
        <v>0</v>
      </c>
      <c r="AG149" s="1"/>
      <c r="AH149" s="1"/>
      <c r="AI149" s="1"/>
      <c r="AJ149" s="1"/>
      <c r="AK149" s="1"/>
      <c r="AL149" s="1"/>
      <c r="AM149" s="1"/>
      <c r="AN149" s="1"/>
      <c r="AO149" s="1"/>
      <c r="AP149" s="1"/>
    </row>
    <row r="150" spans="1:42" x14ac:dyDescent="0.45">
      <c r="A150" s="1"/>
      <c r="B150" s="1"/>
      <c r="C150" s="1"/>
      <c r="D150" s="1"/>
      <c r="E150" s="1"/>
      <c r="F150" s="1"/>
      <c r="G150" s="1"/>
      <c r="H150" s="1"/>
      <c r="I150" s="19" t="e">
        <f t="shared" si="64"/>
        <v>#DIV/0!</v>
      </c>
      <c r="J150" s="23" t="e">
        <f t="shared" si="65"/>
        <v>#DIV/0!</v>
      </c>
      <c r="K150" s="1"/>
      <c r="L150" s="3">
        <f t="shared" si="57"/>
        <v>0</v>
      </c>
      <c r="M150" s="27">
        <f t="shared" si="58"/>
        <v>0</v>
      </c>
      <c r="N150" s="27">
        <f t="shared" si="59"/>
        <v>0</v>
      </c>
      <c r="O150" s="27">
        <f t="shared" si="60"/>
        <v>0</v>
      </c>
      <c r="P150" s="27">
        <f t="shared" si="61"/>
        <v>0</v>
      </c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3">
        <f t="shared" si="66"/>
        <v>0</v>
      </c>
      <c r="AC150" s="24">
        <f t="shared" si="67"/>
        <v>0</v>
      </c>
      <c r="AD150" s="27">
        <f t="shared" si="62"/>
        <v>0</v>
      </c>
      <c r="AE150" s="24">
        <f t="shared" si="68"/>
        <v>0</v>
      </c>
      <c r="AF150" s="27">
        <f t="shared" si="63"/>
        <v>0</v>
      </c>
      <c r="AG150" s="1"/>
      <c r="AH150" s="1"/>
      <c r="AI150" s="1"/>
      <c r="AJ150" s="1"/>
      <c r="AK150" s="1"/>
      <c r="AL150" s="1"/>
      <c r="AM150" s="1"/>
      <c r="AN150" s="1"/>
      <c r="AO150" s="1"/>
      <c r="AP150" s="1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TV7377Var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PedroCR</dc:creator>
  <cp:lastModifiedBy>PedroCR</cp:lastModifiedBy>
  <dcterms:created xsi:type="dcterms:W3CDTF">2020-02-08T11:58:27Z</dcterms:created>
  <dcterms:modified xsi:type="dcterms:W3CDTF">2020-02-09T10:32:17Z</dcterms:modified>
</cp:coreProperties>
</file>