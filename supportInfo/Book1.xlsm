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PedroCR\Dropbox (MagentaKoncept)\PedroCR\PycharmProjects\lifeActuary\supportInfo\"/>
    </mc:Choice>
  </mc:AlternateContent>
  <xr:revisionPtr revIDLastSave="0" documentId="13_ncr:1_{E3D6B13E-B4FA-408E-867F-69B23481DFB8}" xr6:coauthVersionLast="45" xr6:coauthVersionMax="45" xr10:uidLastSave="{00000000-0000-0000-0000-000000000000}"/>
  <bookViews>
    <workbookView xWindow="-93" yWindow="-93" windowWidth="21520" windowHeight="11733" xr2:uid="{60AC3424-5ADC-467B-ACA7-E023D581E0F1}"/>
  </bookViews>
  <sheets>
    <sheet name="TV7377Var" sheetId="1" r:id="rId1"/>
  </sheets>
  <externalReferences>
    <externalReference r:id="rId2"/>
  </externalReference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TCS">#REF!</definedName>
    <definedName name="theta">'[1]simbolos comutação'!$G$1</definedName>
    <definedName name="v">'[1]simbolos comutação'!$B$2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150" i="1" l="1"/>
  <c r="U150" i="1" s="1"/>
  <c r="I150" i="1"/>
  <c r="J150" i="1" s="1"/>
  <c r="L149" i="1"/>
  <c r="U149" i="1" s="1"/>
  <c r="I149" i="1"/>
  <c r="J149" i="1" s="1"/>
  <c r="L148" i="1"/>
  <c r="U148" i="1" s="1"/>
  <c r="I148" i="1"/>
  <c r="J148" i="1" s="1"/>
  <c r="L147" i="1"/>
  <c r="U147" i="1" s="1"/>
  <c r="I147" i="1"/>
  <c r="J147" i="1" s="1"/>
  <c r="L146" i="1"/>
  <c r="U146" i="1" s="1"/>
  <c r="I146" i="1"/>
  <c r="J146" i="1" s="1"/>
  <c r="L145" i="1"/>
  <c r="U145" i="1" s="1"/>
  <c r="I145" i="1"/>
  <c r="J145" i="1" s="1"/>
  <c r="L144" i="1"/>
  <c r="U144" i="1" s="1"/>
  <c r="I144" i="1"/>
  <c r="J144" i="1" s="1"/>
  <c r="L143" i="1"/>
  <c r="U143" i="1" s="1"/>
  <c r="I143" i="1"/>
  <c r="J143" i="1" s="1"/>
  <c r="L142" i="1"/>
  <c r="U142" i="1" s="1"/>
  <c r="I142" i="1"/>
  <c r="J142" i="1" s="1"/>
  <c r="L141" i="1"/>
  <c r="U141" i="1" s="1"/>
  <c r="I141" i="1"/>
  <c r="J141" i="1" s="1"/>
  <c r="L140" i="1"/>
  <c r="U140" i="1" s="1"/>
  <c r="I140" i="1"/>
  <c r="J140" i="1" s="1"/>
  <c r="L139" i="1"/>
  <c r="U139" i="1" s="1"/>
  <c r="I139" i="1"/>
  <c r="J139" i="1" s="1"/>
  <c r="U138" i="1"/>
  <c r="L138" i="1"/>
  <c r="I138" i="1"/>
  <c r="J138" i="1" s="1"/>
  <c r="L137" i="1"/>
  <c r="U137" i="1" s="1"/>
  <c r="I137" i="1"/>
  <c r="J137" i="1" s="1"/>
  <c r="L136" i="1"/>
  <c r="U136" i="1" s="1"/>
  <c r="I136" i="1"/>
  <c r="J136" i="1" s="1"/>
  <c r="L135" i="1"/>
  <c r="U135" i="1" s="1"/>
  <c r="I135" i="1"/>
  <c r="J135" i="1" s="1"/>
  <c r="L134" i="1"/>
  <c r="U134" i="1" s="1"/>
  <c r="I134" i="1"/>
  <c r="J134" i="1" s="1"/>
  <c r="L133" i="1"/>
  <c r="U133" i="1" s="1"/>
  <c r="I133" i="1"/>
  <c r="J133" i="1" s="1"/>
  <c r="L132" i="1"/>
  <c r="U132" i="1" s="1"/>
  <c r="I132" i="1"/>
  <c r="J132" i="1" s="1"/>
  <c r="L131" i="1"/>
  <c r="U131" i="1" s="1"/>
  <c r="I131" i="1"/>
  <c r="J131" i="1" s="1"/>
  <c r="I130" i="1"/>
  <c r="J130" i="1" s="1"/>
  <c r="I129" i="1"/>
  <c r="J129" i="1" s="1"/>
  <c r="J128" i="1"/>
  <c r="I128" i="1"/>
  <c r="H128" i="1"/>
  <c r="I127" i="1"/>
  <c r="J127" i="1" s="1"/>
  <c r="H127" i="1"/>
  <c r="H126" i="1" s="1"/>
  <c r="I125" i="1" s="1"/>
  <c r="J125" i="1" s="1"/>
  <c r="E116" i="1"/>
  <c r="E115" i="1"/>
  <c r="E114" i="1"/>
  <c r="E113" i="1"/>
  <c r="E112" i="1"/>
  <c r="E111" i="1"/>
  <c r="E110" i="1"/>
  <c r="E109" i="1"/>
  <c r="E108" i="1"/>
  <c r="E107" i="1"/>
  <c r="E106" i="1"/>
  <c r="E105" i="1"/>
  <c r="E104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A12" i="1"/>
  <c r="L12" i="1" s="1"/>
  <c r="U12" i="1" s="1"/>
  <c r="E11" i="1"/>
  <c r="B11" i="1"/>
  <c r="A11" i="1"/>
  <c r="L11" i="1" s="1"/>
  <c r="U11" i="1" s="1"/>
  <c r="L10" i="1"/>
  <c r="U10" i="1" s="1"/>
  <c r="E10" i="1"/>
  <c r="C10" i="1"/>
  <c r="AI6" i="1"/>
  <c r="AH6" i="1"/>
  <c r="AG6" i="1"/>
  <c r="AF6" i="1"/>
  <c r="AE6" i="1"/>
  <c r="V5" i="1"/>
  <c r="Y4" i="1" s="1"/>
  <c r="P5" i="1"/>
  <c r="P6" i="1" s="1"/>
  <c r="V4" i="1"/>
  <c r="P4" i="1"/>
  <c r="H125" i="1" l="1"/>
  <c r="A13" i="1"/>
  <c r="I126" i="1"/>
  <c r="J126" i="1" s="1"/>
  <c r="M6" i="1"/>
  <c r="M10" i="1"/>
  <c r="Y5" i="1"/>
  <c r="Y6" i="1" s="1"/>
  <c r="M11" i="1"/>
  <c r="V148" i="1"/>
  <c r="X147" i="1"/>
  <c r="V144" i="1"/>
  <c r="X143" i="1"/>
  <c r="V140" i="1"/>
  <c r="X139" i="1"/>
  <c r="V136" i="1"/>
  <c r="X135" i="1"/>
  <c r="V132" i="1"/>
  <c r="X131" i="1"/>
  <c r="X150" i="1"/>
  <c r="Y150" i="1" s="1"/>
  <c r="V147" i="1"/>
  <c r="X146" i="1"/>
  <c r="V143" i="1"/>
  <c r="X142" i="1"/>
  <c r="V139" i="1"/>
  <c r="X138" i="1"/>
  <c r="V135" i="1"/>
  <c r="X134" i="1"/>
  <c r="V131" i="1"/>
  <c r="V150" i="1"/>
  <c r="W150" i="1" s="1"/>
  <c r="X148" i="1"/>
  <c r="V145" i="1"/>
  <c r="V142" i="1"/>
  <c r="X140" i="1"/>
  <c r="V137" i="1"/>
  <c r="V134" i="1"/>
  <c r="X132" i="1"/>
  <c r="X149" i="1"/>
  <c r="X141" i="1"/>
  <c r="X133" i="1"/>
  <c r="V141" i="1"/>
  <c r="X136" i="1"/>
  <c r="V138" i="1"/>
  <c r="X137" i="1"/>
  <c r="V133" i="1"/>
  <c r="V149" i="1"/>
  <c r="X144" i="1"/>
  <c r="V146" i="1"/>
  <c r="X145" i="1"/>
  <c r="V6" i="1"/>
  <c r="V10" i="1"/>
  <c r="V11" i="1"/>
  <c r="X10" i="1"/>
  <c r="O150" i="1"/>
  <c r="P150" i="1" s="1"/>
  <c r="Q150" i="1" s="1"/>
  <c r="O149" i="1"/>
  <c r="O148" i="1"/>
  <c r="O147" i="1"/>
  <c r="O146" i="1"/>
  <c r="O145" i="1"/>
  <c r="O144" i="1"/>
  <c r="O143" i="1"/>
  <c r="O142" i="1"/>
  <c r="O141" i="1"/>
  <c r="O140" i="1"/>
  <c r="O139" i="1"/>
  <c r="O138" i="1"/>
  <c r="O137" i="1"/>
  <c r="O136" i="1"/>
  <c r="O135" i="1"/>
  <c r="O134" i="1"/>
  <c r="O133" i="1"/>
  <c r="O132" i="1"/>
  <c r="O131" i="1"/>
  <c r="M148" i="1"/>
  <c r="M144" i="1"/>
  <c r="M140" i="1"/>
  <c r="M136" i="1"/>
  <c r="M132" i="1"/>
  <c r="M147" i="1"/>
  <c r="M143" i="1"/>
  <c r="M139" i="1"/>
  <c r="M135" i="1"/>
  <c r="M131" i="1"/>
  <c r="M149" i="1"/>
  <c r="M146" i="1"/>
  <c r="M141" i="1"/>
  <c r="M138" i="1"/>
  <c r="M133" i="1"/>
  <c r="M142" i="1"/>
  <c r="M137" i="1"/>
  <c r="M150" i="1"/>
  <c r="N150" i="1" s="1"/>
  <c r="M145" i="1"/>
  <c r="M134" i="1"/>
  <c r="O10" i="1"/>
  <c r="B12" i="1"/>
  <c r="F10" i="1"/>
  <c r="A14" i="1" l="1"/>
  <c r="L13" i="1"/>
  <c r="U13" i="1" s="1"/>
  <c r="H124" i="1"/>
  <c r="I124" i="1"/>
  <c r="J124" i="1" s="1"/>
  <c r="V12" i="1"/>
  <c r="M12" i="1"/>
  <c r="B13" i="1"/>
  <c r="C12" i="1" s="1"/>
  <c r="C11" i="1"/>
  <c r="P149" i="1"/>
  <c r="P148" i="1" s="1"/>
  <c r="P147" i="1" s="1"/>
  <c r="P146" i="1" s="1"/>
  <c r="P145" i="1" s="1"/>
  <c r="P144" i="1" s="1"/>
  <c r="P143" i="1" s="1"/>
  <c r="P142" i="1" s="1"/>
  <c r="P141" i="1" s="1"/>
  <c r="P140" i="1" s="1"/>
  <c r="P139" i="1" s="1"/>
  <c r="P138" i="1" s="1"/>
  <c r="P137" i="1" s="1"/>
  <c r="W149" i="1"/>
  <c r="W148" i="1" s="1"/>
  <c r="W147" i="1" s="1"/>
  <c r="W146" i="1" s="1"/>
  <c r="W145" i="1" s="1"/>
  <c r="W144" i="1" s="1"/>
  <c r="W143" i="1" s="1"/>
  <c r="W142" i="1" s="1"/>
  <c r="W141" i="1" s="1"/>
  <c r="W140" i="1" s="1"/>
  <c r="W139" i="1" s="1"/>
  <c r="W138" i="1" s="1"/>
  <c r="W137" i="1" s="1"/>
  <c r="W136" i="1" s="1"/>
  <c r="W135" i="1" s="1"/>
  <c r="W134" i="1" s="1"/>
  <c r="W133" i="1" s="1"/>
  <c r="W132" i="1" s="1"/>
  <c r="W131" i="1" s="1"/>
  <c r="Y149" i="1"/>
  <c r="Y148" i="1" s="1"/>
  <c r="Y147" i="1" s="1"/>
  <c r="Y146" i="1" s="1"/>
  <c r="Y145" i="1" s="1"/>
  <c r="Y144" i="1" s="1"/>
  <c r="Y143" i="1" s="1"/>
  <c r="Y142" i="1" s="1"/>
  <c r="Y141" i="1" s="1"/>
  <c r="Y140" i="1" s="1"/>
  <c r="Y139" i="1" s="1"/>
  <c r="Y138" i="1" s="1"/>
  <c r="Y137" i="1" s="1"/>
  <c r="Y136" i="1" s="1"/>
  <c r="Y135" i="1" s="1"/>
  <c r="Y134" i="1" s="1"/>
  <c r="Y133" i="1" s="1"/>
  <c r="Y132" i="1" s="1"/>
  <c r="Y131" i="1" s="1"/>
  <c r="N149" i="1"/>
  <c r="N148" i="1" s="1"/>
  <c r="N147" i="1" s="1"/>
  <c r="N146" i="1" s="1"/>
  <c r="N145" i="1" s="1"/>
  <c r="N144" i="1" s="1"/>
  <c r="N143" i="1" s="1"/>
  <c r="N142" i="1" s="1"/>
  <c r="N141" i="1" s="1"/>
  <c r="N140" i="1" s="1"/>
  <c r="N139" i="1" s="1"/>
  <c r="N138" i="1" s="1"/>
  <c r="N137" i="1" s="1"/>
  <c r="N136" i="1" s="1"/>
  <c r="N135" i="1" s="1"/>
  <c r="N134" i="1" s="1"/>
  <c r="N133" i="1" s="1"/>
  <c r="N132" i="1" s="1"/>
  <c r="N131" i="1" s="1"/>
  <c r="I123" i="1" l="1"/>
  <c r="J123" i="1" s="1"/>
  <c r="H123" i="1"/>
  <c r="A15" i="1"/>
  <c r="L14" i="1"/>
  <c r="U14" i="1" s="1"/>
  <c r="Q149" i="1"/>
  <c r="Q148" i="1" s="1"/>
  <c r="Q147" i="1" s="1"/>
  <c r="Q146" i="1" s="1"/>
  <c r="Q145" i="1" s="1"/>
  <c r="Q144" i="1" s="1"/>
  <c r="Q143" i="1" s="1"/>
  <c r="Q142" i="1" s="1"/>
  <c r="Q141" i="1" s="1"/>
  <c r="Q140" i="1" s="1"/>
  <c r="Q139" i="1" s="1"/>
  <c r="Q138" i="1" s="1"/>
  <c r="Q137" i="1" s="1"/>
  <c r="Q136" i="1" s="1"/>
  <c r="Q135" i="1" s="1"/>
  <c r="Q134" i="1" s="1"/>
  <c r="Q133" i="1" s="1"/>
  <c r="Q132" i="1" s="1"/>
  <c r="Q131" i="1" s="1"/>
  <c r="P136" i="1"/>
  <c r="P135" i="1" s="1"/>
  <c r="P134" i="1" s="1"/>
  <c r="P133" i="1" s="1"/>
  <c r="P132" i="1" s="1"/>
  <c r="P131" i="1" s="1"/>
  <c r="X12" i="1"/>
  <c r="O12" i="1"/>
  <c r="X11" i="1"/>
  <c r="F12" i="1"/>
  <c r="O11" i="1"/>
  <c r="F11" i="1"/>
  <c r="V13" i="1"/>
  <c r="C13" i="1"/>
  <c r="M13" i="1"/>
  <c r="B14" i="1"/>
  <c r="L15" i="1" l="1"/>
  <c r="U15" i="1" s="1"/>
  <c r="A16" i="1"/>
  <c r="I122" i="1"/>
  <c r="J122" i="1" s="1"/>
  <c r="H122" i="1"/>
  <c r="B15" i="1"/>
  <c r="V14" i="1"/>
  <c r="C14" i="1"/>
  <c r="M14" i="1"/>
  <c r="O13" i="1"/>
  <c r="X13" i="1"/>
  <c r="F13" i="1"/>
  <c r="I121" i="1" l="1"/>
  <c r="J121" i="1" s="1"/>
  <c r="H121" i="1"/>
  <c r="A17" i="1"/>
  <c r="L16" i="1"/>
  <c r="U16" i="1" s="1"/>
  <c r="X14" i="1"/>
  <c r="O14" i="1"/>
  <c r="F14" i="1"/>
  <c r="M15" i="1"/>
  <c r="B16" i="1"/>
  <c r="C15" i="1" s="1"/>
  <c r="V15" i="1"/>
  <c r="L17" i="1" l="1"/>
  <c r="U17" i="1" s="1"/>
  <c r="A18" i="1"/>
  <c r="I120" i="1"/>
  <c r="J120" i="1" s="1"/>
  <c r="H120" i="1"/>
  <c r="X15" i="1"/>
  <c r="O15" i="1"/>
  <c r="F15" i="1"/>
  <c r="V16" i="1"/>
  <c r="C16" i="1"/>
  <c r="M16" i="1"/>
  <c r="B17" i="1"/>
  <c r="A19" i="1" l="1"/>
  <c r="L18" i="1"/>
  <c r="U18" i="1" s="1"/>
  <c r="I119" i="1"/>
  <c r="J119" i="1" s="1"/>
  <c r="H119" i="1"/>
  <c r="X16" i="1"/>
  <c r="O16" i="1"/>
  <c r="F16" i="1"/>
  <c r="B18" i="1"/>
  <c r="C17" i="1" s="1"/>
  <c r="V17" i="1"/>
  <c r="M17" i="1"/>
  <c r="H118" i="1" l="1"/>
  <c r="I118" i="1"/>
  <c r="J118" i="1" s="1"/>
  <c r="A20" i="1"/>
  <c r="L19" i="1"/>
  <c r="U19" i="1" s="1"/>
  <c r="X17" i="1"/>
  <c r="O17" i="1"/>
  <c r="F17" i="1"/>
  <c r="V18" i="1"/>
  <c r="B19" i="1"/>
  <c r="C18" i="1" s="1"/>
  <c r="M18" i="1"/>
  <c r="L20" i="1" l="1"/>
  <c r="U20" i="1" s="1"/>
  <c r="A21" i="1"/>
  <c r="O18" i="1"/>
  <c r="X18" i="1"/>
  <c r="B20" i="1"/>
  <c r="C19" i="1" s="1"/>
  <c r="V19" i="1"/>
  <c r="M19" i="1"/>
  <c r="F18" i="1"/>
  <c r="A22" i="1" l="1"/>
  <c r="L21" i="1"/>
  <c r="U21" i="1" s="1"/>
  <c r="M20" i="1"/>
  <c r="B21" i="1"/>
  <c r="C20" i="1" s="1"/>
  <c r="F20" i="1" s="1"/>
  <c r="V20" i="1"/>
  <c r="X19" i="1"/>
  <c r="O19" i="1"/>
  <c r="F19" i="1"/>
  <c r="A23" i="1" l="1"/>
  <c r="L22" i="1"/>
  <c r="U22" i="1" s="1"/>
  <c r="X20" i="1"/>
  <c r="O20" i="1"/>
  <c r="V21" i="1"/>
  <c r="M21" i="1"/>
  <c r="B22" i="1"/>
  <c r="C21" i="1" s="1"/>
  <c r="L23" i="1" l="1"/>
  <c r="U23" i="1" s="1"/>
  <c r="A24" i="1"/>
  <c r="X21" i="1"/>
  <c r="O21" i="1"/>
  <c r="F21" i="1"/>
  <c r="V22" i="1"/>
  <c r="B23" i="1"/>
  <c r="M22" i="1"/>
  <c r="A25" i="1" l="1"/>
  <c r="L24" i="1"/>
  <c r="U24" i="1" s="1"/>
  <c r="B24" i="1"/>
  <c r="V23" i="1"/>
  <c r="M23" i="1"/>
  <c r="C22" i="1"/>
  <c r="L25" i="1" l="1"/>
  <c r="U25" i="1" s="1"/>
  <c r="A26" i="1"/>
  <c r="O22" i="1"/>
  <c r="X22" i="1"/>
  <c r="F22" i="1"/>
  <c r="M24" i="1"/>
  <c r="B25" i="1"/>
  <c r="C24" i="1"/>
  <c r="V24" i="1"/>
  <c r="C23" i="1"/>
  <c r="A27" i="1" l="1"/>
  <c r="L26" i="1"/>
  <c r="U26" i="1" s="1"/>
  <c r="X24" i="1"/>
  <c r="O24" i="1"/>
  <c r="V25" i="1"/>
  <c r="M25" i="1"/>
  <c r="B26" i="1"/>
  <c r="C25" i="1" s="1"/>
  <c r="X23" i="1"/>
  <c r="F24" i="1"/>
  <c r="O23" i="1"/>
  <c r="F23" i="1"/>
  <c r="A28" i="1" l="1"/>
  <c r="L27" i="1"/>
  <c r="U27" i="1" s="1"/>
  <c r="X25" i="1"/>
  <c r="O25" i="1"/>
  <c r="V26" i="1"/>
  <c r="B27" i="1"/>
  <c r="M26" i="1"/>
  <c r="F25" i="1"/>
  <c r="L28" i="1" l="1"/>
  <c r="U28" i="1" s="1"/>
  <c r="A29" i="1"/>
  <c r="B28" i="1"/>
  <c r="C27" i="1" s="1"/>
  <c r="V27" i="1"/>
  <c r="M27" i="1"/>
  <c r="C26" i="1"/>
  <c r="L29" i="1" l="1"/>
  <c r="U29" i="1" s="1"/>
  <c r="A30" i="1"/>
  <c r="X27" i="1"/>
  <c r="O27" i="1"/>
  <c r="F27" i="1"/>
  <c r="O26" i="1"/>
  <c r="X26" i="1"/>
  <c r="F26" i="1"/>
  <c r="M28" i="1"/>
  <c r="B29" i="1"/>
  <c r="V28" i="1"/>
  <c r="L30" i="1" l="1"/>
  <c r="U30" i="1" s="1"/>
  <c r="A31" i="1"/>
  <c r="V29" i="1"/>
  <c r="M29" i="1"/>
  <c r="B30" i="1"/>
  <c r="C28" i="1"/>
  <c r="L31" i="1" l="1"/>
  <c r="U31" i="1" s="1"/>
  <c r="A32" i="1"/>
  <c r="V30" i="1"/>
  <c r="C30" i="1"/>
  <c r="B31" i="1"/>
  <c r="M30" i="1"/>
  <c r="C29" i="1"/>
  <c r="X28" i="1"/>
  <c r="O28" i="1"/>
  <c r="F29" i="1"/>
  <c r="F28" i="1"/>
  <c r="L32" i="1" l="1"/>
  <c r="U32" i="1" s="1"/>
  <c r="A33" i="1"/>
  <c r="F30" i="1"/>
  <c r="X29" i="1"/>
  <c r="O29" i="1"/>
  <c r="O30" i="1"/>
  <c r="X30" i="1"/>
  <c r="B32" i="1"/>
  <c r="V31" i="1"/>
  <c r="M31" i="1"/>
  <c r="A34" i="1" l="1"/>
  <c r="L33" i="1"/>
  <c r="U33" i="1" s="1"/>
  <c r="M32" i="1"/>
  <c r="B33" i="1"/>
  <c r="V32" i="1"/>
  <c r="C31" i="1"/>
  <c r="L34" i="1" l="1"/>
  <c r="U34" i="1" s="1"/>
  <c r="A35" i="1"/>
  <c r="X31" i="1"/>
  <c r="O31" i="1"/>
  <c r="F31" i="1"/>
  <c r="V33" i="1"/>
  <c r="C33" i="1"/>
  <c r="M33" i="1"/>
  <c r="B34" i="1"/>
  <c r="C32" i="1"/>
  <c r="F32" i="1" s="1"/>
  <c r="L35" i="1" l="1"/>
  <c r="U35" i="1" s="1"/>
  <c r="A36" i="1"/>
  <c r="V34" i="1"/>
  <c r="B35" i="1"/>
  <c r="C34" i="1" s="1"/>
  <c r="M34" i="1"/>
  <c r="X32" i="1"/>
  <c r="O32" i="1"/>
  <c r="F33" i="1"/>
  <c r="X33" i="1"/>
  <c r="O33" i="1"/>
  <c r="A37" i="1" l="1"/>
  <c r="L36" i="1"/>
  <c r="U36" i="1" s="1"/>
  <c r="O34" i="1"/>
  <c r="X34" i="1"/>
  <c r="F34" i="1"/>
  <c r="B36" i="1"/>
  <c r="V35" i="1"/>
  <c r="M35" i="1"/>
  <c r="L37" i="1" l="1"/>
  <c r="U37" i="1" s="1"/>
  <c r="A38" i="1"/>
  <c r="M36" i="1"/>
  <c r="B37" i="1"/>
  <c r="C36" i="1" s="1"/>
  <c r="V36" i="1"/>
  <c r="C35" i="1"/>
  <c r="A39" i="1" l="1"/>
  <c r="L38" i="1"/>
  <c r="U38" i="1" s="1"/>
  <c r="X35" i="1"/>
  <c r="F36" i="1"/>
  <c r="O35" i="1"/>
  <c r="F35" i="1"/>
  <c r="X36" i="1"/>
  <c r="O36" i="1"/>
  <c r="V37" i="1"/>
  <c r="M37" i="1"/>
  <c r="B38" i="1"/>
  <c r="A40" i="1" l="1"/>
  <c r="L39" i="1"/>
  <c r="U39" i="1" s="1"/>
  <c r="V38" i="1"/>
  <c r="C38" i="1"/>
  <c r="B39" i="1"/>
  <c r="M38" i="1"/>
  <c r="C37" i="1"/>
  <c r="A41" i="1" l="1"/>
  <c r="L40" i="1"/>
  <c r="U40" i="1" s="1"/>
  <c r="F38" i="1"/>
  <c r="X37" i="1"/>
  <c r="O37" i="1"/>
  <c r="F37" i="1"/>
  <c r="B40" i="1"/>
  <c r="V39" i="1"/>
  <c r="M39" i="1"/>
  <c r="O38" i="1"/>
  <c r="X38" i="1"/>
  <c r="A42" i="1" l="1"/>
  <c r="L41" i="1"/>
  <c r="U41" i="1" s="1"/>
  <c r="M40" i="1"/>
  <c r="B41" i="1"/>
  <c r="C40" i="1" s="1"/>
  <c r="V40" i="1"/>
  <c r="C39" i="1"/>
  <c r="A43" i="1" l="1"/>
  <c r="L42" i="1"/>
  <c r="U42" i="1" s="1"/>
  <c r="V41" i="1"/>
  <c r="M41" i="1"/>
  <c r="B42" i="1"/>
  <c r="C41" i="1" s="1"/>
  <c r="X40" i="1"/>
  <c r="O40" i="1"/>
  <c r="X39" i="1"/>
  <c r="F40" i="1"/>
  <c r="O39" i="1"/>
  <c r="F39" i="1"/>
  <c r="A44" i="1" l="1"/>
  <c r="L43" i="1"/>
  <c r="U43" i="1" s="1"/>
  <c r="X41" i="1"/>
  <c r="O41" i="1"/>
  <c r="V42" i="1"/>
  <c r="B43" i="1"/>
  <c r="M42" i="1"/>
  <c r="F41" i="1"/>
  <c r="L44" i="1" l="1"/>
  <c r="U44" i="1" s="1"/>
  <c r="A45" i="1"/>
  <c r="B44" i="1"/>
  <c r="C43" i="1" s="1"/>
  <c r="V43" i="1"/>
  <c r="M43" i="1"/>
  <c r="C42" i="1"/>
  <c r="A46" i="1" l="1"/>
  <c r="L45" i="1"/>
  <c r="U45" i="1" s="1"/>
  <c r="X43" i="1"/>
  <c r="O43" i="1"/>
  <c r="F43" i="1"/>
  <c r="O42" i="1"/>
  <c r="X42" i="1"/>
  <c r="F42" i="1"/>
  <c r="M44" i="1"/>
  <c r="B45" i="1"/>
  <c r="V44" i="1"/>
  <c r="A47" i="1" l="1"/>
  <c r="L46" i="1"/>
  <c r="U46" i="1" s="1"/>
  <c r="V45" i="1"/>
  <c r="M45" i="1"/>
  <c r="B46" i="1"/>
  <c r="C44" i="1"/>
  <c r="L47" i="1" l="1"/>
  <c r="U47" i="1" s="1"/>
  <c r="A48" i="1"/>
  <c r="V46" i="1"/>
  <c r="B47" i="1"/>
  <c r="M46" i="1"/>
  <c r="C45" i="1"/>
  <c r="X44" i="1"/>
  <c r="O44" i="1"/>
  <c r="F45" i="1"/>
  <c r="F44" i="1"/>
  <c r="L48" i="1" l="1"/>
  <c r="U48" i="1" s="1"/>
  <c r="A49" i="1"/>
  <c r="B48" i="1"/>
  <c r="C47" i="1" s="1"/>
  <c r="V47" i="1"/>
  <c r="M47" i="1"/>
  <c r="C46" i="1"/>
  <c r="F46" i="1" s="1"/>
  <c r="X45" i="1"/>
  <c r="O45" i="1"/>
  <c r="L49" i="1" l="1"/>
  <c r="U49" i="1" s="1"/>
  <c r="A50" i="1"/>
  <c r="X47" i="1"/>
  <c r="O47" i="1"/>
  <c r="F47" i="1"/>
  <c r="O46" i="1"/>
  <c r="X46" i="1"/>
  <c r="M48" i="1"/>
  <c r="B49" i="1"/>
  <c r="C48" i="1"/>
  <c r="F48" i="1" s="1"/>
  <c r="V48" i="1"/>
  <c r="L50" i="1" l="1"/>
  <c r="U50" i="1" s="1"/>
  <c r="A51" i="1"/>
  <c r="V49" i="1"/>
  <c r="M49" i="1"/>
  <c r="B50" i="1"/>
  <c r="X48" i="1"/>
  <c r="O48" i="1"/>
  <c r="L51" i="1" l="1"/>
  <c r="U51" i="1" s="1"/>
  <c r="A52" i="1"/>
  <c r="V50" i="1"/>
  <c r="B51" i="1"/>
  <c r="M50" i="1"/>
  <c r="C49" i="1"/>
  <c r="A53" i="1" l="1"/>
  <c r="L52" i="1"/>
  <c r="U52" i="1" s="1"/>
  <c r="B52" i="1"/>
  <c r="C51" i="1" s="1"/>
  <c r="V51" i="1"/>
  <c r="M51" i="1"/>
  <c r="C50" i="1"/>
  <c r="F50" i="1" s="1"/>
  <c r="X49" i="1"/>
  <c r="O49" i="1"/>
  <c r="F49" i="1"/>
  <c r="L53" i="1" l="1"/>
  <c r="U53" i="1" s="1"/>
  <c r="A54" i="1"/>
  <c r="X51" i="1"/>
  <c r="O51" i="1"/>
  <c r="F51" i="1"/>
  <c r="O50" i="1"/>
  <c r="X50" i="1"/>
  <c r="M52" i="1"/>
  <c r="B53" i="1"/>
  <c r="C52" i="1"/>
  <c r="V52" i="1"/>
  <c r="L54" i="1" l="1"/>
  <c r="U54" i="1" s="1"/>
  <c r="A55" i="1"/>
  <c r="X52" i="1"/>
  <c r="O52" i="1"/>
  <c r="V53" i="1"/>
  <c r="C53" i="1"/>
  <c r="M53" i="1"/>
  <c r="B54" i="1"/>
  <c r="F52" i="1"/>
  <c r="A56" i="1" l="1"/>
  <c r="L55" i="1"/>
  <c r="U55" i="1" s="1"/>
  <c r="X53" i="1"/>
  <c r="O53" i="1"/>
  <c r="B55" i="1"/>
  <c r="C54" i="1" s="1"/>
  <c r="V54" i="1"/>
  <c r="M54" i="1"/>
  <c r="F53" i="1"/>
  <c r="L56" i="1" l="1"/>
  <c r="U56" i="1" s="1"/>
  <c r="A57" i="1"/>
  <c r="X54" i="1"/>
  <c r="O54" i="1"/>
  <c r="M55" i="1"/>
  <c r="B56" i="1"/>
  <c r="V55" i="1"/>
  <c r="F54" i="1"/>
  <c r="A58" i="1" l="1"/>
  <c r="L57" i="1"/>
  <c r="U57" i="1" s="1"/>
  <c r="V56" i="1"/>
  <c r="M56" i="1"/>
  <c r="B57" i="1"/>
  <c r="C55" i="1"/>
  <c r="L58" i="1" l="1"/>
  <c r="U58" i="1" s="1"/>
  <c r="A59" i="1"/>
  <c r="V57" i="1"/>
  <c r="C57" i="1"/>
  <c r="M57" i="1"/>
  <c r="B58" i="1"/>
  <c r="C56" i="1"/>
  <c r="X55" i="1"/>
  <c r="F56" i="1"/>
  <c r="O55" i="1"/>
  <c r="F55" i="1"/>
  <c r="A60" i="1" l="1"/>
  <c r="L59" i="1"/>
  <c r="U59" i="1" s="1"/>
  <c r="O57" i="1"/>
  <c r="X57" i="1"/>
  <c r="B59" i="1"/>
  <c r="C58" i="1" s="1"/>
  <c r="V58" i="1"/>
  <c r="M58" i="1"/>
  <c r="X56" i="1"/>
  <c r="F57" i="1"/>
  <c r="O56" i="1"/>
  <c r="L60" i="1" l="1"/>
  <c r="U60" i="1" s="1"/>
  <c r="A61" i="1"/>
  <c r="X58" i="1"/>
  <c r="O58" i="1"/>
  <c r="F58" i="1"/>
  <c r="M59" i="1"/>
  <c r="B60" i="1"/>
  <c r="V59" i="1"/>
  <c r="L61" i="1" l="1"/>
  <c r="U61" i="1" s="1"/>
  <c r="A62" i="1"/>
  <c r="V60" i="1"/>
  <c r="B61" i="1"/>
  <c r="C60" i="1" s="1"/>
  <c r="M60" i="1"/>
  <c r="C59" i="1"/>
  <c r="A63" i="1" l="1"/>
  <c r="L62" i="1"/>
  <c r="U62" i="1" s="1"/>
  <c r="X59" i="1"/>
  <c r="F60" i="1"/>
  <c r="O59" i="1"/>
  <c r="F59" i="1"/>
  <c r="V61" i="1"/>
  <c r="M61" i="1"/>
  <c r="B62" i="1"/>
  <c r="X60" i="1"/>
  <c r="O60" i="1"/>
  <c r="A64" i="1" l="1"/>
  <c r="L63" i="1"/>
  <c r="U63" i="1" s="1"/>
  <c r="B63" i="1"/>
  <c r="C62" i="1" s="1"/>
  <c r="V62" i="1"/>
  <c r="M62" i="1"/>
  <c r="C61" i="1"/>
  <c r="L64" i="1" l="1"/>
  <c r="U64" i="1" s="1"/>
  <c r="A65" i="1"/>
  <c r="X62" i="1"/>
  <c r="O62" i="1"/>
  <c r="F62" i="1"/>
  <c r="O61" i="1"/>
  <c r="X61" i="1"/>
  <c r="F61" i="1"/>
  <c r="M63" i="1"/>
  <c r="V63" i="1"/>
  <c r="B64" i="1"/>
  <c r="C63" i="1"/>
  <c r="F63" i="1" s="1"/>
  <c r="A66" i="1" l="1"/>
  <c r="L65" i="1"/>
  <c r="U65" i="1" s="1"/>
  <c r="V64" i="1"/>
  <c r="M64" i="1"/>
  <c r="B65" i="1"/>
  <c r="X63" i="1"/>
  <c r="O63" i="1"/>
  <c r="L66" i="1" l="1"/>
  <c r="U66" i="1" s="1"/>
  <c r="A67" i="1"/>
  <c r="B66" i="1"/>
  <c r="C65" i="1" s="1"/>
  <c r="V65" i="1"/>
  <c r="M65" i="1"/>
  <c r="C64" i="1"/>
  <c r="L67" i="1" l="1"/>
  <c r="U67" i="1" s="1"/>
  <c r="A68" i="1"/>
  <c r="O65" i="1"/>
  <c r="X65" i="1"/>
  <c r="F65" i="1"/>
  <c r="X64" i="1"/>
  <c r="O64" i="1"/>
  <c r="F64" i="1"/>
  <c r="B67" i="1"/>
  <c r="C66" i="1" s="1"/>
  <c r="F66" i="1" s="1"/>
  <c r="V66" i="1"/>
  <c r="M66" i="1"/>
  <c r="L68" i="1" l="1"/>
  <c r="U68" i="1" s="1"/>
  <c r="A69" i="1"/>
  <c r="X66" i="1"/>
  <c r="O66" i="1"/>
  <c r="M67" i="1"/>
  <c r="B68" i="1"/>
  <c r="C67" i="1" s="1"/>
  <c r="V67" i="1"/>
  <c r="A70" i="1" l="1"/>
  <c r="L69" i="1"/>
  <c r="U69" i="1" s="1"/>
  <c r="V68" i="1"/>
  <c r="B69" i="1"/>
  <c r="M68" i="1"/>
  <c r="X67" i="1"/>
  <c r="O67" i="1"/>
  <c r="F67" i="1"/>
  <c r="L70" i="1" l="1"/>
  <c r="U70" i="1" s="1"/>
  <c r="A71" i="1"/>
  <c r="V69" i="1"/>
  <c r="M69" i="1"/>
  <c r="B70" i="1"/>
  <c r="C69" i="1" s="1"/>
  <c r="C68" i="1"/>
  <c r="A72" i="1" l="1"/>
  <c r="L71" i="1"/>
  <c r="U71" i="1" s="1"/>
  <c r="F69" i="1"/>
  <c r="X68" i="1"/>
  <c r="O68" i="1"/>
  <c r="F68" i="1"/>
  <c r="B71" i="1"/>
  <c r="C70" i="1" s="1"/>
  <c r="V70" i="1"/>
  <c r="M70" i="1"/>
  <c r="O69" i="1"/>
  <c r="X69" i="1"/>
  <c r="L72" i="1" l="1"/>
  <c r="U72" i="1" s="1"/>
  <c r="A73" i="1"/>
  <c r="X70" i="1"/>
  <c r="O70" i="1"/>
  <c r="F70" i="1"/>
  <c r="M71" i="1"/>
  <c r="V71" i="1"/>
  <c r="B72" i="1"/>
  <c r="C71" i="1" s="1"/>
  <c r="L73" i="1" l="1"/>
  <c r="U73" i="1" s="1"/>
  <c r="A74" i="1"/>
  <c r="X71" i="1"/>
  <c r="O71" i="1"/>
  <c r="F71" i="1"/>
  <c r="V72" i="1"/>
  <c r="M72" i="1"/>
  <c r="B73" i="1"/>
  <c r="C72" i="1" s="1"/>
  <c r="A75" i="1" l="1"/>
  <c r="L74" i="1"/>
  <c r="U74" i="1" s="1"/>
  <c r="F73" i="1"/>
  <c r="X72" i="1"/>
  <c r="O72" i="1"/>
  <c r="F72" i="1"/>
  <c r="B74" i="1"/>
  <c r="C73" i="1"/>
  <c r="V73" i="1"/>
  <c r="M73" i="1"/>
  <c r="A76" i="1" l="1"/>
  <c r="L75" i="1"/>
  <c r="U75" i="1" s="1"/>
  <c r="O73" i="1"/>
  <c r="X73" i="1"/>
  <c r="B75" i="1"/>
  <c r="C74" i="1"/>
  <c r="F74" i="1" s="1"/>
  <c r="M74" i="1"/>
  <c r="V74" i="1"/>
  <c r="A77" i="1" l="1"/>
  <c r="L76" i="1"/>
  <c r="U76" i="1" s="1"/>
  <c r="X74" i="1"/>
  <c r="O74" i="1"/>
  <c r="M75" i="1"/>
  <c r="B76" i="1"/>
  <c r="C75" i="1"/>
  <c r="F75" i="1" s="1"/>
  <c r="V75" i="1"/>
  <c r="L77" i="1" l="1"/>
  <c r="U77" i="1" s="1"/>
  <c r="A78" i="1"/>
  <c r="V76" i="1"/>
  <c r="B77" i="1"/>
  <c r="M76" i="1"/>
  <c r="X75" i="1"/>
  <c r="O75" i="1"/>
  <c r="L78" i="1" l="1"/>
  <c r="U78" i="1" s="1"/>
  <c r="A79" i="1"/>
  <c r="V77" i="1"/>
  <c r="M77" i="1"/>
  <c r="B78" i="1"/>
  <c r="C77" i="1" s="1"/>
  <c r="C76" i="1"/>
  <c r="A80" i="1" l="1"/>
  <c r="L79" i="1"/>
  <c r="U79" i="1" s="1"/>
  <c r="O77" i="1"/>
  <c r="X77" i="1"/>
  <c r="F77" i="1"/>
  <c r="X76" i="1"/>
  <c r="O76" i="1"/>
  <c r="F76" i="1"/>
  <c r="B79" i="1"/>
  <c r="V78" i="1"/>
  <c r="M78" i="1"/>
  <c r="L80" i="1" l="1"/>
  <c r="U80" i="1" s="1"/>
  <c r="A81" i="1"/>
  <c r="M79" i="1"/>
  <c r="V79" i="1"/>
  <c r="B80" i="1"/>
  <c r="C79" i="1" s="1"/>
  <c r="C78" i="1"/>
  <c r="A82" i="1" l="1"/>
  <c r="L81" i="1"/>
  <c r="U81" i="1" s="1"/>
  <c r="X79" i="1"/>
  <c r="O79" i="1"/>
  <c r="X78" i="1"/>
  <c r="F79" i="1"/>
  <c r="O78" i="1"/>
  <c r="F78" i="1"/>
  <c r="V80" i="1"/>
  <c r="M80" i="1"/>
  <c r="B81" i="1"/>
  <c r="L82" i="1" l="1"/>
  <c r="U82" i="1" s="1"/>
  <c r="A83" i="1"/>
  <c r="B82" i="1"/>
  <c r="C81" i="1" s="1"/>
  <c r="V81" i="1"/>
  <c r="M81" i="1"/>
  <c r="C80" i="1"/>
  <c r="A84" i="1" l="1"/>
  <c r="L83" i="1"/>
  <c r="U83" i="1" s="1"/>
  <c r="O81" i="1"/>
  <c r="X81" i="1"/>
  <c r="F81" i="1"/>
  <c r="X80" i="1"/>
  <c r="O80" i="1"/>
  <c r="F80" i="1"/>
  <c r="B83" i="1"/>
  <c r="V82" i="1"/>
  <c r="M82" i="1"/>
  <c r="L84" i="1" l="1"/>
  <c r="U84" i="1" s="1"/>
  <c r="A85" i="1"/>
  <c r="M83" i="1"/>
  <c r="B84" i="1"/>
  <c r="C83" i="1" s="1"/>
  <c r="V83" i="1"/>
  <c r="C82" i="1"/>
  <c r="A86" i="1" l="1"/>
  <c r="L85" i="1"/>
  <c r="U85" i="1" s="1"/>
  <c r="X82" i="1"/>
  <c r="O82" i="1"/>
  <c r="F83" i="1"/>
  <c r="F82" i="1"/>
  <c r="X83" i="1"/>
  <c r="O83" i="1"/>
  <c r="V84" i="1"/>
  <c r="C84" i="1"/>
  <c r="B85" i="1"/>
  <c r="M84" i="1"/>
  <c r="L86" i="1" l="1"/>
  <c r="U86" i="1" s="1"/>
  <c r="A87" i="1"/>
  <c r="V85" i="1"/>
  <c r="M85" i="1"/>
  <c r="B86" i="1"/>
  <c r="X84" i="1"/>
  <c r="O84" i="1"/>
  <c r="F84" i="1"/>
  <c r="L87" i="1" l="1"/>
  <c r="U87" i="1" s="1"/>
  <c r="A88" i="1"/>
  <c r="B87" i="1"/>
  <c r="V86" i="1"/>
  <c r="M86" i="1"/>
  <c r="C85" i="1"/>
  <c r="A89" i="1" l="1"/>
  <c r="L88" i="1"/>
  <c r="U88" i="1" s="1"/>
  <c r="M87" i="1"/>
  <c r="V87" i="1"/>
  <c r="B88" i="1"/>
  <c r="C87" i="1" s="1"/>
  <c r="C86" i="1"/>
  <c r="F86" i="1"/>
  <c r="O85" i="1"/>
  <c r="X85" i="1"/>
  <c r="F85" i="1"/>
  <c r="L89" i="1" l="1"/>
  <c r="U89" i="1" s="1"/>
  <c r="A90" i="1"/>
  <c r="X87" i="1"/>
  <c r="O87" i="1"/>
  <c r="B89" i="1"/>
  <c r="M88" i="1"/>
  <c r="V88" i="1"/>
  <c r="X86" i="1"/>
  <c r="F87" i="1"/>
  <c r="O86" i="1"/>
  <c r="A91" i="1" l="1"/>
  <c r="L90" i="1"/>
  <c r="U90" i="1" s="1"/>
  <c r="M89" i="1"/>
  <c r="B90" i="1"/>
  <c r="C89" i="1" s="1"/>
  <c r="V89" i="1"/>
  <c r="C88" i="1"/>
  <c r="L91" i="1" l="1"/>
  <c r="U91" i="1" s="1"/>
  <c r="A92" i="1"/>
  <c r="O89" i="1"/>
  <c r="X89" i="1"/>
  <c r="V90" i="1"/>
  <c r="M90" i="1"/>
  <c r="B91" i="1"/>
  <c r="X88" i="1"/>
  <c r="F89" i="1"/>
  <c r="O88" i="1"/>
  <c r="F88" i="1"/>
  <c r="L92" i="1" l="1"/>
  <c r="U92" i="1" s="1"/>
  <c r="A93" i="1"/>
  <c r="M91" i="1"/>
  <c r="B92" i="1"/>
  <c r="V91" i="1"/>
  <c r="C91" i="1"/>
  <c r="C90" i="1"/>
  <c r="L93" i="1" l="1"/>
  <c r="U93" i="1" s="1"/>
  <c r="A94" i="1"/>
  <c r="B93" i="1"/>
  <c r="C92" i="1" s="1"/>
  <c r="M92" i="1"/>
  <c r="V92" i="1"/>
  <c r="F91" i="1"/>
  <c r="O90" i="1"/>
  <c r="X90" i="1"/>
  <c r="F90" i="1"/>
  <c r="O91" i="1"/>
  <c r="X91" i="1"/>
  <c r="L94" i="1" l="1"/>
  <c r="U94" i="1" s="1"/>
  <c r="A95" i="1"/>
  <c r="X92" i="1"/>
  <c r="O92" i="1"/>
  <c r="F92" i="1"/>
  <c r="M93" i="1"/>
  <c r="B94" i="1"/>
  <c r="C93" i="1" s="1"/>
  <c r="F93" i="1" s="1"/>
  <c r="V93" i="1"/>
  <c r="L95" i="1" l="1"/>
  <c r="U95" i="1" s="1"/>
  <c r="A96" i="1"/>
  <c r="V94" i="1"/>
  <c r="B95" i="1"/>
  <c r="M94" i="1"/>
  <c r="O93" i="1"/>
  <c r="X93" i="1"/>
  <c r="A97" i="1" l="1"/>
  <c r="L96" i="1"/>
  <c r="U96" i="1" s="1"/>
  <c r="M95" i="1"/>
  <c r="B96" i="1"/>
  <c r="V95" i="1"/>
  <c r="C94" i="1"/>
  <c r="A98" i="1" l="1"/>
  <c r="L97" i="1"/>
  <c r="U97" i="1" s="1"/>
  <c r="B97" i="1"/>
  <c r="C96" i="1"/>
  <c r="V96" i="1"/>
  <c r="M96" i="1"/>
  <c r="C95" i="1"/>
  <c r="F95" i="1" s="1"/>
  <c r="O94" i="1"/>
  <c r="X94" i="1"/>
  <c r="F94" i="1"/>
  <c r="L98" i="1" l="1"/>
  <c r="U98" i="1" s="1"/>
  <c r="A99" i="1"/>
  <c r="V97" i="1"/>
  <c r="C97" i="1"/>
  <c r="F97" i="1" s="1"/>
  <c r="B98" i="1"/>
  <c r="M97" i="1"/>
  <c r="X96" i="1"/>
  <c r="O96" i="1"/>
  <c r="F96" i="1"/>
  <c r="O95" i="1"/>
  <c r="X95" i="1"/>
  <c r="L99" i="1" l="1"/>
  <c r="U99" i="1" s="1"/>
  <c r="A100" i="1"/>
  <c r="B99" i="1"/>
  <c r="M98" i="1"/>
  <c r="V98" i="1"/>
  <c r="O97" i="1"/>
  <c r="X97" i="1"/>
  <c r="A101" i="1" l="1"/>
  <c r="L100" i="1"/>
  <c r="U100" i="1" s="1"/>
  <c r="M99" i="1"/>
  <c r="B100" i="1"/>
  <c r="V99" i="1"/>
  <c r="C98" i="1"/>
  <c r="L101" i="1" l="1"/>
  <c r="U101" i="1" s="1"/>
  <c r="A102" i="1"/>
  <c r="V100" i="1"/>
  <c r="M100" i="1"/>
  <c r="B101" i="1"/>
  <c r="C99" i="1"/>
  <c r="X98" i="1"/>
  <c r="F99" i="1"/>
  <c r="O98" i="1"/>
  <c r="F98" i="1"/>
  <c r="L102" i="1" l="1"/>
  <c r="U102" i="1" s="1"/>
  <c r="A103" i="1"/>
  <c r="M101" i="1"/>
  <c r="B102" i="1"/>
  <c r="C101" i="1" s="1"/>
  <c r="V101" i="1"/>
  <c r="C100" i="1"/>
  <c r="F100" i="1"/>
  <c r="O99" i="1"/>
  <c r="X99" i="1"/>
  <c r="L103" i="1" l="1"/>
  <c r="U103" i="1" s="1"/>
  <c r="A104" i="1"/>
  <c r="O101" i="1"/>
  <c r="X101" i="1"/>
  <c r="F101" i="1"/>
  <c r="O100" i="1"/>
  <c r="X100" i="1"/>
  <c r="B103" i="1"/>
  <c r="C102" i="1"/>
  <c r="M102" i="1"/>
  <c r="V102" i="1"/>
  <c r="L104" i="1" l="1"/>
  <c r="U104" i="1" s="1"/>
  <c r="A105" i="1"/>
  <c r="X102" i="1"/>
  <c r="O102" i="1"/>
  <c r="M103" i="1"/>
  <c r="B104" i="1"/>
  <c r="C103" i="1" s="1"/>
  <c r="V103" i="1"/>
  <c r="F102" i="1"/>
  <c r="L105" i="1" l="1"/>
  <c r="U105" i="1" s="1"/>
  <c r="A106" i="1"/>
  <c r="V104" i="1"/>
  <c r="B105" i="1"/>
  <c r="M104" i="1"/>
  <c r="O103" i="1"/>
  <c r="X103" i="1"/>
  <c r="F103" i="1"/>
  <c r="A107" i="1" l="1"/>
  <c r="L106" i="1"/>
  <c r="U106" i="1" s="1"/>
  <c r="V105" i="1"/>
  <c r="B106" i="1"/>
  <c r="M105" i="1"/>
  <c r="C104" i="1"/>
  <c r="A108" i="1" l="1"/>
  <c r="L107" i="1"/>
  <c r="U107" i="1" s="1"/>
  <c r="O104" i="1"/>
  <c r="X104" i="1"/>
  <c r="F104" i="1"/>
  <c r="B107" i="1"/>
  <c r="M106" i="1"/>
  <c r="V106" i="1"/>
  <c r="C105" i="1"/>
  <c r="A109" i="1" l="1"/>
  <c r="L108" i="1"/>
  <c r="U108" i="1" s="1"/>
  <c r="O105" i="1"/>
  <c r="X105" i="1"/>
  <c r="M107" i="1"/>
  <c r="C107" i="1"/>
  <c r="B108" i="1"/>
  <c r="V107" i="1"/>
  <c r="F105" i="1"/>
  <c r="C106" i="1"/>
  <c r="L109" i="1" l="1"/>
  <c r="U109" i="1" s="1"/>
  <c r="A110" i="1"/>
  <c r="V108" i="1"/>
  <c r="C108" i="1"/>
  <c r="F108" i="1" s="1"/>
  <c r="M108" i="1"/>
  <c r="B109" i="1"/>
  <c r="X106" i="1"/>
  <c r="F107" i="1"/>
  <c r="O106" i="1"/>
  <c r="O107" i="1"/>
  <c r="X107" i="1"/>
  <c r="F106" i="1"/>
  <c r="A111" i="1" l="1"/>
  <c r="L110" i="1"/>
  <c r="U110" i="1" s="1"/>
  <c r="M109" i="1"/>
  <c r="B110" i="1"/>
  <c r="V109" i="1"/>
  <c r="C109" i="1"/>
  <c r="O108" i="1"/>
  <c r="X108" i="1"/>
  <c r="A112" i="1" l="1"/>
  <c r="L111" i="1"/>
  <c r="U111" i="1" s="1"/>
  <c r="B111" i="1"/>
  <c r="C110" i="1"/>
  <c r="F110" i="1" s="1"/>
  <c r="M110" i="1"/>
  <c r="V110" i="1"/>
  <c r="O109" i="1"/>
  <c r="X109" i="1"/>
  <c r="F109" i="1"/>
  <c r="L112" i="1" l="1"/>
  <c r="U112" i="1" s="1"/>
  <c r="A113" i="1"/>
  <c r="M111" i="1"/>
  <c r="B112" i="1"/>
  <c r="C111" i="1" s="1"/>
  <c r="V111" i="1"/>
  <c r="X110" i="1"/>
  <c r="O110" i="1"/>
  <c r="L113" i="1" l="1"/>
  <c r="U113" i="1" s="1"/>
  <c r="A114" i="1"/>
  <c r="O111" i="1"/>
  <c r="X111" i="1"/>
  <c r="F111" i="1"/>
  <c r="V112" i="1"/>
  <c r="B113" i="1"/>
  <c r="M112" i="1"/>
  <c r="A115" i="1" l="1"/>
  <c r="L114" i="1"/>
  <c r="U114" i="1" s="1"/>
  <c r="V113" i="1"/>
  <c r="C113" i="1"/>
  <c r="B114" i="1"/>
  <c r="M113" i="1"/>
  <c r="C112" i="1"/>
  <c r="L115" i="1" l="1"/>
  <c r="U115" i="1" s="1"/>
  <c r="A116" i="1"/>
  <c r="F113" i="1"/>
  <c r="O112" i="1"/>
  <c r="X112" i="1"/>
  <c r="F112" i="1"/>
  <c r="B115" i="1"/>
  <c r="M114" i="1"/>
  <c r="V114" i="1"/>
  <c r="O113" i="1"/>
  <c r="X113" i="1"/>
  <c r="A117" i="1" l="1"/>
  <c r="L116" i="1"/>
  <c r="U116" i="1" s="1"/>
  <c r="M115" i="1"/>
  <c r="B116" i="1"/>
  <c r="V115" i="1"/>
  <c r="C114" i="1"/>
  <c r="A118" i="1" l="1"/>
  <c r="L117" i="1"/>
  <c r="U117" i="1" s="1"/>
  <c r="B117" i="1"/>
  <c r="C116" i="1" s="1"/>
  <c r="V116" i="1"/>
  <c r="M116" i="1"/>
  <c r="X114" i="1"/>
  <c r="O114" i="1"/>
  <c r="F114" i="1"/>
  <c r="C115" i="1"/>
  <c r="L118" i="1" l="1"/>
  <c r="A119" i="1"/>
  <c r="C117" i="1"/>
  <c r="V117" i="1"/>
  <c r="M117" i="1"/>
  <c r="I117" i="1"/>
  <c r="J117" i="1" s="1"/>
  <c r="H117" i="1"/>
  <c r="X115" i="1"/>
  <c r="F116" i="1"/>
  <c r="O115" i="1"/>
  <c r="O116" i="1"/>
  <c r="X116" i="1"/>
  <c r="F115" i="1"/>
  <c r="A120" i="1" l="1"/>
  <c r="L119" i="1"/>
  <c r="U118" i="1"/>
  <c r="M118" i="1"/>
  <c r="O118" i="1"/>
  <c r="I116" i="1"/>
  <c r="J116" i="1" s="1"/>
  <c r="H116" i="1"/>
  <c r="X117" i="1"/>
  <c r="O117" i="1"/>
  <c r="X118" i="1" l="1"/>
  <c r="V118" i="1"/>
  <c r="O119" i="1"/>
  <c r="U119" i="1"/>
  <c r="M119" i="1"/>
  <c r="A121" i="1"/>
  <c r="L120" i="1"/>
  <c r="H115" i="1"/>
  <c r="I115" i="1"/>
  <c r="J115" i="1" s="1"/>
  <c r="V119" i="1" l="1"/>
  <c r="X119" i="1"/>
  <c r="U120" i="1"/>
  <c r="M120" i="1"/>
  <c r="O120" i="1"/>
  <c r="A122" i="1"/>
  <c r="L121" i="1"/>
  <c r="H114" i="1"/>
  <c r="I114" i="1"/>
  <c r="J114" i="1" s="1"/>
  <c r="U121" i="1" l="1"/>
  <c r="M121" i="1"/>
  <c r="O121" i="1"/>
  <c r="L122" i="1"/>
  <c r="A123" i="1"/>
  <c r="X120" i="1"/>
  <c r="V120" i="1"/>
  <c r="H113" i="1"/>
  <c r="I113" i="1"/>
  <c r="J113" i="1" s="1"/>
  <c r="O122" i="1" l="1"/>
  <c r="M122" i="1"/>
  <c r="U122" i="1"/>
  <c r="L123" i="1"/>
  <c r="A124" i="1"/>
  <c r="X121" i="1"/>
  <c r="V121" i="1"/>
  <c r="I112" i="1"/>
  <c r="J112" i="1" s="1"/>
  <c r="H112" i="1"/>
  <c r="M123" i="1" l="1"/>
  <c r="O123" i="1"/>
  <c r="U123" i="1"/>
  <c r="V122" i="1"/>
  <c r="X122" i="1"/>
  <c r="L124" i="1"/>
  <c r="A125" i="1"/>
  <c r="H111" i="1"/>
  <c r="I111" i="1"/>
  <c r="J111" i="1" s="1"/>
  <c r="L125" i="1" l="1"/>
  <c r="A126" i="1"/>
  <c r="X123" i="1"/>
  <c r="V123" i="1"/>
  <c r="M124" i="1"/>
  <c r="U124" i="1"/>
  <c r="O124" i="1"/>
  <c r="H110" i="1"/>
  <c r="I110" i="1"/>
  <c r="J110" i="1" s="1"/>
  <c r="X124" i="1" l="1"/>
  <c r="V124" i="1"/>
  <c r="L126" i="1"/>
  <c r="A127" i="1"/>
  <c r="O125" i="1"/>
  <c r="M125" i="1"/>
  <c r="U125" i="1"/>
  <c r="I109" i="1"/>
  <c r="J109" i="1" s="1"/>
  <c r="H109" i="1"/>
  <c r="X125" i="1" l="1"/>
  <c r="V125" i="1"/>
  <c r="M126" i="1"/>
  <c r="O126" i="1"/>
  <c r="U126" i="1"/>
  <c r="L127" i="1"/>
  <c r="A128" i="1"/>
  <c r="I108" i="1"/>
  <c r="J108" i="1" s="1"/>
  <c r="H108" i="1"/>
  <c r="L128" i="1" l="1"/>
  <c r="A129" i="1"/>
  <c r="M127" i="1"/>
  <c r="O127" i="1"/>
  <c r="U127" i="1"/>
  <c r="V126" i="1"/>
  <c r="X126" i="1"/>
  <c r="H107" i="1"/>
  <c r="I107" i="1"/>
  <c r="J107" i="1" s="1"/>
  <c r="A130" i="1" l="1"/>
  <c r="L130" i="1" s="1"/>
  <c r="L129" i="1"/>
  <c r="X127" i="1"/>
  <c r="V127" i="1"/>
  <c r="U128" i="1"/>
  <c r="M128" i="1"/>
  <c r="O128" i="1"/>
  <c r="H106" i="1"/>
  <c r="I106" i="1"/>
  <c r="J106" i="1" s="1"/>
  <c r="M129" i="1" l="1"/>
  <c r="O129" i="1"/>
  <c r="U129" i="1"/>
  <c r="V128" i="1"/>
  <c r="X128" i="1"/>
  <c r="O130" i="1"/>
  <c r="P130" i="1" s="1"/>
  <c r="M130" i="1"/>
  <c r="N130" i="1" s="1"/>
  <c r="N129" i="1" s="1"/>
  <c r="N128" i="1" s="1"/>
  <c r="N127" i="1" s="1"/>
  <c r="N126" i="1" s="1"/>
  <c r="N125" i="1" s="1"/>
  <c r="N124" i="1" s="1"/>
  <c r="N123" i="1" s="1"/>
  <c r="N122" i="1" s="1"/>
  <c r="N121" i="1" s="1"/>
  <c r="N120" i="1" s="1"/>
  <c r="N119" i="1" s="1"/>
  <c r="U130" i="1"/>
  <c r="H105" i="1"/>
  <c r="I105" i="1"/>
  <c r="J105" i="1" s="1"/>
  <c r="V129" i="1" l="1"/>
  <c r="X129" i="1"/>
  <c r="AA120" i="1"/>
  <c r="Q130" i="1"/>
  <c r="Q129" i="1" s="1"/>
  <c r="Q128" i="1" s="1"/>
  <c r="Q127" i="1" s="1"/>
  <c r="Q126" i="1" s="1"/>
  <c r="Q125" i="1" s="1"/>
  <c r="Q124" i="1" s="1"/>
  <c r="Q123" i="1" s="1"/>
  <c r="Q122" i="1" s="1"/>
  <c r="Q121" i="1" s="1"/>
  <c r="Q120" i="1" s="1"/>
  <c r="P129" i="1"/>
  <c r="P128" i="1" s="1"/>
  <c r="P127" i="1" s="1"/>
  <c r="P126" i="1" s="1"/>
  <c r="P125" i="1" s="1"/>
  <c r="P124" i="1" s="1"/>
  <c r="P123" i="1" s="1"/>
  <c r="P122" i="1" s="1"/>
  <c r="P121" i="1" s="1"/>
  <c r="P120" i="1" s="1"/>
  <c r="V130" i="1"/>
  <c r="W130" i="1" s="1"/>
  <c r="W129" i="1" s="1"/>
  <c r="W128" i="1" s="1"/>
  <c r="W127" i="1" s="1"/>
  <c r="W126" i="1" s="1"/>
  <c r="W125" i="1" s="1"/>
  <c r="W124" i="1" s="1"/>
  <c r="W123" i="1" s="1"/>
  <c r="W122" i="1" s="1"/>
  <c r="W121" i="1" s="1"/>
  <c r="W120" i="1" s="1"/>
  <c r="W119" i="1" s="1"/>
  <c r="W118" i="1" s="1"/>
  <c r="W117" i="1" s="1"/>
  <c r="W116" i="1" s="1"/>
  <c r="W115" i="1" s="1"/>
  <c r="W114" i="1" s="1"/>
  <c r="W113" i="1" s="1"/>
  <c r="W112" i="1" s="1"/>
  <c r="W111" i="1" s="1"/>
  <c r="W110" i="1" s="1"/>
  <c r="W109" i="1" s="1"/>
  <c r="W108" i="1" s="1"/>
  <c r="W107" i="1" s="1"/>
  <c r="W106" i="1" s="1"/>
  <c r="W105" i="1" s="1"/>
  <c r="W104" i="1" s="1"/>
  <c r="W103" i="1" s="1"/>
  <c r="W102" i="1" s="1"/>
  <c r="W101" i="1" s="1"/>
  <c r="W100" i="1" s="1"/>
  <c r="W99" i="1" s="1"/>
  <c r="W98" i="1" s="1"/>
  <c r="W97" i="1" s="1"/>
  <c r="W96" i="1" s="1"/>
  <c r="W95" i="1" s="1"/>
  <c r="W94" i="1" s="1"/>
  <c r="W93" i="1" s="1"/>
  <c r="W92" i="1" s="1"/>
  <c r="W91" i="1" s="1"/>
  <c r="W90" i="1" s="1"/>
  <c r="W89" i="1" s="1"/>
  <c r="W88" i="1" s="1"/>
  <c r="W87" i="1" s="1"/>
  <c r="W86" i="1" s="1"/>
  <c r="W85" i="1" s="1"/>
  <c r="W84" i="1" s="1"/>
  <c r="W83" i="1" s="1"/>
  <c r="W82" i="1" s="1"/>
  <c r="W81" i="1" s="1"/>
  <c r="W80" i="1" s="1"/>
  <c r="W79" i="1" s="1"/>
  <c r="W78" i="1" s="1"/>
  <c r="W77" i="1" s="1"/>
  <c r="W76" i="1" s="1"/>
  <c r="W75" i="1" s="1"/>
  <c r="W74" i="1" s="1"/>
  <c r="W73" i="1" s="1"/>
  <c r="W72" i="1" s="1"/>
  <c r="W71" i="1" s="1"/>
  <c r="W70" i="1" s="1"/>
  <c r="W69" i="1" s="1"/>
  <c r="W68" i="1" s="1"/>
  <c r="W67" i="1" s="1"/>
  <c r="W66" i="1" s="1"/>
  <c r="W65" i="1" s="1"/>
  <c r="W64" i="1" s="1"/>
  <c r="W63" i="1" s="1"/>
  <c r="W62" i="1" s="1"/>
  <c r="W61" i="1" s="1"/>
  <c r="W60" i="1" s="1"/>
  <c r="W59" i="1" s="1"/>
  <c r="W58" i="1" s="1"/>
  <c r="W57" i="1" s="1"/>
  <c r="W56" i="1" s="1"/>
  <c r="W55" i="1" s="1"/>
  <c r="W54" i="1" s="1"/>
  <c r="W53" i="1" s="1"/>
  <c r="W52" i="1" s="1"/>
  <c r="W51" i="1" s="1"/>
  <c r="W50" i="1" s="1"/>
  <c r="W49" i="1" s="1"/>
  <c r="W48" i="1" s="1"/>
  <c r="W47" i="1" s="1"/>
  <c r="W46" i="1" s="1"/>
  <c r="W45" i="1" s="1"/>
  <c r="W44" i="1" s="1"/>
  <c r="W43" i="1" s="1"/>
  <c r="W42" i="1" s="1"/>
  <c r="W41" i="1" s="1"/>
  <c r="W40" i="1" s="1"/>
  <c r="W39" i="1" s="1"/>
  <c r="W38" i="1" s="1"/>
  <c r="W37" i="1" s="1"/>
  <c r="W36" i="1" s="1"/>
  <c r="W35" i="1" s="1"/>
  <c r="W34" i="1" s="1"/>
  <c r="W33" i="1" s="1"/>
  <c r="W32" i="1" s="1"/>
  <c r="W31" i="1" s="1"/>
  <c r="W30" i="1" s="1"/>
  <c r="W29" i="1" s="1"/>
  <c r="W28" i="1" s="1"/>
  <c r="W27" i="1" s="1"/>
  <c r="W26" i="1" s="1"/>
  <c r="W25" i="1" s="1"/>
  <c r="W24" i="1" s="1"/>
  <c r="W23" i="1" s="1"/>
  <c r="W22" i="1" s="1"/>
  <c r="W21" i="1" s="1"/>
  <c r="W20" i="1" s="1"/>
  <c r="W19" i="1" s="1"/>
  <c r="W18" i="1" s="1"/>
  <c r="W17" i="1" s="1"/>
  <c r="W16" i="1" s="1"/>
  <c r="W15" i="1" s="1"/>
  <c r="W14" i="1" s="1"/>
  <c r="W13" i="1" s="1"/>
  <c r="W12" i="1" s="1"/>
  <c r="W11" i="1" s="1"/>
  <c r="W10" i="1" s="1"/>
  <c r="X130" i="1"/>
  <c r="Y130" i="1" s="1"/>
  <c r="Y129" i="1" s="1"/>
  <c r="Y128" i="1" s="1"/>
  <c r="Y127" i="1" s="1"/>
  <c r="Y126" i="1" s="1"/>
  <c r="Y125" i="1" s="1"/>
  <c r="Y124" i="1" s="1"/>
  <c r="Y123" i="1" s="1"/>
  <c r="Y122" i="1" s="1"/>
  <c r="Y121" i="1" s="1"/>
  <c r="Y120" i="1" s="1"/>
  <c r="AE120" i="1" s="1"/>
  <c r="I104" i="1"/>
  <c r="J104" i="1" s="1"/>
  <c r="H104" i="1"/>
  <c r="AA119" i="1"/>
  <c r="N118" i="1"/>
  <c r="Y119" i="1" l="1"/>
  <c r="Y118" i="1" s="1"/>
  <c r="AB120" i="1"/>
  <c r="AC120" i="1" s="1"/>
  <c r="AD120" i="1" s="1"/>
  <c r="P119" i="1"/>
  <c r="AA118" i="1"/>
  <c r="N117" i="1"/>
  <c r="AE119" i="1"/>
  <c r="H103" i="1"/>
  <c r="I103" i="1"/>
  <c r="J103" i="1" s="1"/>
  <c r="AF120" i="1" l="1"/>
  <c r="AG120" i="1"/>
  <c r="AH120" i="1" s="1"/>
  <c r="AI120" i="1" s="1"/>
  <c r="AB119" i="1"/>
  <c r="AC119" i="1" s="1"/>
  <c r="AD119" i="1" s="1"/>
  <c r="P118" i="1"/>
  <c r="Q119" i="1"/>
  <c r="Q118" i="1" s="1"/>
  <c r="H102" i="1"/>
  <c r="I102" i="1"/>
  <c r="J102" i="1" s="1"/>
  <c r="AE118" i="1"/>
  <c r="Y117" i="1"/>
  <c r="N116" i="1"/>
  <c r="AA117" i="1"/>
  <c r="AF119" i="1" l="1"/>
  <c r="AG119" i="1"/>
  <c r="AH119" i="1" s="1"/>
  <c r="AI119" i="1" s="1"/>
  <c r="Q117" i="1"/>
  <c r="P117" i="1"/>
  <c r="AB118" i="1"/>
  <c r="AC118" i="1" s="1"/>
  <c r="AD118" i="1" s="1"/>
  <c r="AG118" i="1"/>
  <c r="AH118" i="1" s="1"/>
  <c r="AI118" i="1" s="1"/>
  <c r="AA116" i="1"/>
  <c r="N115" i="1"/>
  <c r="I101" i="1"/>
  <c r="J101" i="1" s="1"/>
  <c r="H101" i="1"/>
  <c r="AE117" i="1"/>
  <c r="Y116" i="1"/>
  <c r="AF118" i="1" l="1"/>
  <c r="P116" i="1"/>
  <c r="AB117" i="1"/>
  <c r="AC117" i="1" s="1"/>
  <c r="AD117" i="1" s="1"/>
  <c r="I100" i="1"/>
  <c r="J100" i="1" s="1"/>
  <c r="H100" i="1"/>
  <c r="AG117" i="1"/>
  <c r="AH117" i="1" s="1"/>
  <c r="AI117" i="1" s="1"/>
  <c r="Y115" i="1"/>
  <c r="AE116" i="1"/>
  <c r="N114" i="1"/>
  <c r="AA115" i="1"/>
  <c r="AB116" i="1" l="1"/>
  <c r="AC116" i="1" s="1"/>
  <c r="AD116" i="1" s="1"/>
  <c r="P115" i="1"/>
  <c r="AF117" i="1"/>
  <c r="Q116" i="1"/>
  <c r="Q115" i="1" s="1"/>
  <c r="AF116" i="1"/>
  <c r="AG116" i="1"/>
  <c r="AH116" i="1" s="1"/>
  <c r="AI116" i="1" s="1"/>
  <c r="N113" i="1"/>
  <c r="AA114" i="1"/>
  <c r="AE115" i="1"/>
  <c r="Y114" i="1"/>
  <c r="H99" i="1"/>
  <c r="I99" i="1"/>
  <c r="J99" i="1" s="1"/>
  <c r="P114" i="1" l="1"/>
  <c r="AB115" i="1"/>
  <c r="AC115" i="1" s="1"/>
  <c r="AD115" i="1" s="1"/>
  <c r="N112" i="1"/>
  <c r="AA113" i="1"/>
  <c r="AE114" i="1"/>
  <c r="Y113" i="1"/>
  <c r="H98" i="1"/>
  <c r="I98" i="1"/>
  <c r="J98" i="1" s="1"/>
  <c r="AF115" i="1" l="1"/>
  <c r="AB114" i="1"/>
  <c r="AC114" i="1" s="1"/>
  <c r="AD114" i="1" s="1"/>
  <c r="P113" i="1"/>
  <c r="AG115" i="1"/>
  <c r="AH115" i="1" s="1"/>
  <c r="AI115" i="1" s="1"/>
  <c r="Q114" i="1"/>
  <c r="H97" i="1"/>
  <c r="I97" i="1"/>
  <c r="J97" i="1" s="1"/>
  <c r="AA112" i="1"/>
  <c r="N111" i="1"/>
  <c r="Y112" i="1"/>
  <c r="AE113" i="1"/>
  <c r="AG114" i="1"/>
  <c r="AH114" i="1" s="1"/>
  <c r="AI114" i="1" s="1"/>
  <c r="AF114" i="1"/>
  <c r="AB113" i="1" l="1"/>
  <c r="AC113" i="1" s="1"/>
  <c r="AD113" i="1" s="1"/>
  <c r="P112" i="1"/>
  <c r="Q113" i="1"/>
  <c r="Q112" i="1" s="1"/>
  <c r="AA111" i="1"/>
  <c r="N110" i="1"/>
  <c r="AF113" i="1"/>
  <c r="AG113" i="1"/>
  <c r="AH113" i="1" s="1"/>
  <c r="AI113" i="1" s="1"/>
  <c r="AE112" i="1"/>
  <c r="Y111" i="1"/>
  <c r="H96" i="1"/>
  <c r="I96" i="1"/>
  <c r="J96" i="1" s="1"/>
  <c r="P111" i="1" l="1"/>
  <c r="AB112" i="1"/>
  <c r="AC112" i="1" s="1"/>
  <c r="AD112" i="1" s="1"/>
  <c r="Y110" i="1"/>
  <c r="AE111" i="1"/>
  <c r="AA110" i="1"/>
  <c r="N109" i="1"/>
  <c r="H95" i="1"/>
  <c r="I95" i="1"/>
  <c r="J95" i="1" s="1"/>
  <c r="AG112" i="1" l="1"/>
  <c r="AH112" i="1" s="1"/>
  <c r="AI112" i="1" s="1"/>
  <c r="AB111" i="1"/>
  <c r="AC111" i="1" s="1"/>
  <c r="AD111" i="1" s="1"/>
  <c r="P110" i="1"/>
  <c r="AF112" i="1"/>
  <c r="Q111" i="1"/>
  <c r="Y109" i="1"/>
  <c r="AE110" i="1"/>
  <c r="N108" i="1"/>
  <c r="AA109" i="1"/>
  <c r="AF111" i="1"/>
  <c r="AG111" i="1"/>
  <c r="AH111" i="1" s="1"/>
  <c r="AI111" i="1" s="1"/>
  <c r="I94" i="1"/>
  <c r="J94" i="1" s="1"/>
  <c r="H94" i="1"/>
  <c r="AB110" i="1" l="1"/>
  <c r="AC110" i="1" s="1"/>
  <c r="AD110" i="1" s="1"/>
  <c r="P109" i="1"/>
  <c r="Q110" i="1"/>
  <c r="AA108" i="1"/>
  <c r="N107" i="1"/>
  <c r="AG110" i="1"/>
  <c r="AH110" i="1" s="1"/>
  <c r="AI110" i="1" s="1"/>
  <c r="AF110" i="1"/>
  <c r="H93" i="1"/>
  <c r="I93" i="1"/>
  <c r="J93" i="1" s="1"/>
  <c r="AE109" i="1"/>
  <c r="Y108" i="1"/>
  <c r="Q109" i="1" l="1"/>
  <c r="AB109" i="1"/>
  <c r="AC109" i="1" s="1"/>
  <c r="AD109" i="1" s="1"/>
  <c r="P108" i="1"/>
  <c r="H92" i="1"/>
  <c r="I92" i="1"/>
  <c r="J92" i="1" s="1"/>
  <c r="N106" i="1"/>
  <c r="AA107" i="1"/>
  <c r="AE108" i="1"/>
  <c r="Y107" i="1"/>
  <c r="AF109" i="1"/>
  <c r="Q108" i="1" l="1"/>
  <c r="AB108" i="1"/>
  <c r="AC108" i="1" s="1"/>
  <c r="AD108" i="1" s="1"/>
  <c r="P107" i="1"/>
  <c r="AG109" i="1"/>
  <c r="AH109" i="1" s="1"/>
  <c r="AI109" i="1" s="1"/>
  <c r="Y106" i="1"/>
  <c r="AE107" i="1"/>
  <c r="AG108" i="1"/>
  <c r="AH108" i="1" s="1"/>
  <c r="AI108" i="1" s="1"/>
  <c r="AF108" i="1"/>
  <c r="N105" i="1"/>
  <c r="AA106" i="1"/>
  <c r="I91" i="1"/>
  <c r="J91" i="1" s="1"/>
  <c r="H91" i="1"/>
  <c r="Q107" i="1" l="1"/>
  <c r="P106" i="1"/>
  <c r="AB107" i="1"/>
  <c r="AC107" i="1" s="1"/>
  <c r="AD107" i="1" s="1"/>
  <c r="N104" i="1"/>
  <c r="AA105" i="1"/>
  <c r="AE106" i="1"/>
  <c r="Y105" i="1"/>
  <c r="I90" i="1"/>
  <c r="J90" i="1" s="1"/>
  <c r="H90" i="1"/>
  <c r="AF107" i="1" l="1"/>
  <c r="Q106" i="1"/>
  <c r="Q105" i="1" s="1"/>
  <c r="AB106" i="1"/>
  <c r="AC106" i="1" s="1"/>
  <c r="AD106" i="1" s="1"/>
  <c r="P105" i="1"/>
  <c r="AG107" i="1"/>
  <c r="AH107" i="1" s="1"/>
  <c r="AI107" i="1" s="1"/>
  <c r="AF106" i="1"/>
  <c r="H89" i="1"/>
  <c r="I89" i="1"/>
  <c r="J89" i="1" s="1"/>
  <c r="AA104" i="1"/>
  <c r="N103" i="1"/>
  <c r="Y104" i="1"/>
  <c r="AE105" i="1"/>
  <c r="AG106" i="1" l="1"/>
  <c r="AH106" i="1" s="1"/>
  <c r="AI106" i="1" s="1"/>
  <c r="AB105" i="1"/>
  <c r="AC105" i="1" s="1"/>
  <c r="AD105" i="1" s="1"/>
  <c r="P104" i="1"/>
  <c r="AE104" i="1"/>
  <c r="Y103" i="1"/>
  <c r="AA103" i="1"/>
  <c r="N102" i="1"/>
  <c r="I88" i="1"/>
  <c r="J88" i="1" s="1"/>
  <c r="H88" i="1"/>
  <c r="Q104" i="1" l="1"/>
  <c r="P103" i="1"/>
  <c r="AB104" i="1"/>
  <c r="AC104" i="1" s="1"/>
  <c r="AD104" i="1" s="1"/>
  <c r="AG105" i="1"/>
  <c r="AH105" i="1" s="1"/>
  <c r="AI105" i="1" s="1"/>
  <c r="AF105" i="1"/>
  <c r="H87" i="1"/>
  <c r="I87" i="1"/>
  <c r="J87" i="1" s="1"/>
  <c r="AA102" i="1"/>
  <c r="N101" i="1"/>
  <c r="Y102" i="1"/>
  <c r="AE103" i="1"/>
  <c r="AF104" i="1"/>
  <c r="AG104" i="1"/>
  <c r="AH104" i="1" s="1"/>
  <c r="AI104" i="1" s="1"/>
  <c r="Q103" i="1" l="1"/>
  <c r="P102" i="1"/>
  <c r="AB103" i="1"/>
  <c r="AC103" i="1" s="1"/>
  <c r="AD103" i="1" s="1"/>
  <c r="N100" i="1"/>
  <c r="AA101" i="1"/>
  <c r="Y101" i="1"/>
  <c r="AE102" i="1"/>
  <c r="H86" i="1"/>
  <c r="I86" i="1"/>
  <c r="J86" i="1" s="1"/>
  <c r="AG103" i="1" l="1"/>
  <c r="AH103" i="1" s="1"/>
  <c r="AI103" i="1" s="1"/>
  <c r="Q102" i="1"/>
  <c r="AB102" i="1"/>
  <c r="AC102" i="1" s="1"/>
  <c r="AD102" i="1" s="1"/>
  <c r="P101" i="1"/>
  <c r="AF103" i="1"/>
  <c r="AE101" i="1"/>
  <c r="Y100" i="1"/>
  <c r="H85" i="1"/>
  <c r="I85" i="1"/>
  <c r="J85" i="1" s="1"/>
  <c r="AA100" i="1"/>
  <c r="N99" i="1"/>
  <c r="AF102" i="1" l="1"/>
  <c r="AG102" i="1"/>
  <c r="AH102" i="1" s="1"/>
  <c r="AI102" i="1" s="1"/>
  <c r="Q101" i="1"/>
  <c r="AB101" i="1"/>
  <c r="AC101" i="1" s="1"/>
  <c r="AD101" i="1" s="1"/>
  <c r="P100" i="1"/>
  <c r="I84" i="1"/>
  <c r="J84" i="1" s="1"/>
  <c r="H84" i="1"/>
  <c r="AF101" i="1"/>
  <c r="AG101" i="1"/>
  <c r="AH101" i="1" s="1"/>
  <c r="AI101" i="1" s="1"/>
  <c r="N98" i="1"/>
  <c r="AA99" i="1"/>
  <c r="AE100" i="1"/>
  <c r="Y99" i="1"/>
  <c r="Q100" i="1" l="1"/>
  <c r="P99" i="1"/>
  <c r="AB100" i="1"/>
  <c r="AC100" i="1" s="1"/>
  <c r="AD100" i="1" s="1"/>
  <c r="Y98" i="1"/>
  <c r="AE99" i="1"/>
  <c r="H83" i="1"/>
  <c r="I83" i="1"/>
  <c r="J83" i="1" s="1"/>
  <c r="N97" i="1"/>
  <c r="AA98" i="1"/>
  <c r="P98" i="1" l="1"/>
  <c r="AB99" i="1"/>
  <c r="AC99" i="1" s="1"/>
  <c r="AD99" i="1" s="1"/>
  <c r="AF100" i="1"/>
  <c r="Q99" i="1"/>
  <c r="AG100" i="1"/>
  <c r="AH100" i="1" s="1"/>
  <c r="AI100" i="1" s="1"/>
  <c r="AG99" i="1"/>
  <c r="AH99" i="1" s="1"/>
  <c r="AI99" i="1" s="1"/>
  <c r="AF99" i="1"/>
  <c r="AA97" i="1"/>
  <c r="N96" i="1"/>
  <c r="AE98" i="1"/>
  <c r="Y97" i="1"/>
  <c r="I82" i="1"/>
  <c r="J82" i="1" s="1"/>
  <c r="H82" i="1"/>
  <c r="Q98" i="1" l="1"/>
  <c r="AB98" i="1"/>
  <c r="AC98" i="1" s="1"/>
  <c r="AD98" i="1" s="1"/>
  <c r="P97" i="1"/>
  <c r="AE97" i="1"/>
  <c r="Y96" i="1"/>
  <c r="I81" i="1"/>
  <c r="J81" i="1" s="1"/>
  <c r="H81" i="1"/>
  <c r="AA96" i="1"/>
  <c r="N95" i="1"/>
  <c r="Q97" i="1" l="1"/>
  <c r="AB97" i="1"/>
  <c r="AC97" i="1" s="1"/>
  <c r="AD97" i="1" s="1"/>
  <c r="P96" i="1"/>
  <c r="AF98" i="1"/>
  <c r="AG98" i="1"/>
  <c r="AH98" i="1" s="1"/>
  <c r="AI98" i="1" s="1"/>
  <c r="AF97" i="1"/>
  <c r="I80" i="1"/>
  <c r="J80" i="1" s="1"/>
  <c r="H80" i="1"/>
  <c r="N94" i="1"/>
  <c r="AA95" i="1"/>
  <c r="AE96" i="1"/>
  <c r="Y95" i="1"/>
  <c r="Q96" i="1" l="1"/>
  <c r="P95" i="1"/>
  <c r="AB96" i="1"/>
  <c r="AC96" i="1" s="1"/>
  <c r="AD96" i="1" s="1"/>
  <c r="AG97" i="1"/>
  <c r="AH97" i="1" s="1"/>
  <c r="AI97" i="1" s="1"/>
  <c r="Y94" i="1"/>
  <c r="AE95" i="1"/>
  <c r="H79" i="1"/>
  <c r="I79" i="1"/>
  <c r="J79" i="1" s="1"/>
  <c r="AA94" i="1"/>
  <c r="N93" i="1"/>
  <c r="AF96" i="1" l="1"/>
  <c r="Q95" i="1"/>
  <c r="AB95" i="1"/>
  <c r="AC95" i="1" s="1"/>
  <c r="AD95" i="1" s="1"/>
  <c r="P94" i="1"/>
  <c r="AG96" i="1"/>
  <c r="AH96" i="1" s="1"/>
  <c r="AI96" i="1" s="1"/>
  <c r="H78" i="1"/>
  <c r="I78" i="1"/>
  <c r="J78" i="1" s="1"/>
  <c r="AA93" i="1"/>
  <c r="N92" i="1"/>
  <c r="AE94" i="1"/>
  <c r="Y93" i="1"/>
  <c r="AG95" i="1" l="1"/>
  <c r="AH95" i="1" s="1"/>
  <c r="AI95" i="1" s="1"/>
  <c r="AF95" i="1"/>
  <c r="Q94" i="1"/>
  <c r="Q93" i="1" s="1"/>
  <c r="AB94" i="1"/>
  <c r="AC94" i="1" s="1"/>
  <c r="AD94" i="1" s="1"/>
  <c r="P93" i="1"/>
  <c r="AF94" i="1"/>
  <c r="AG94" i="1"/>
  <c r="AH94" i="1" s="1"/>
  <c r="AI94" i="1" s="1"/>
  <c r="H77" i="1"/>
  <c r="I77" i="1"/>
  <c r="J77" i="1" s="1"/>
  <c r="Y92" i="1"/>
  <c r="AE93" i="1"/>
  <c r="AA92" i="1"/>
  <c r="N91" i="1"/>
  <c r="P92" i="1" l="1"/>
  <c r="AB93" i="1"/>
  <c r="AC93" i="1" s="1"/>
  <c r="AD93" i="1" s="1"/>
  <c r="Y91" i="1"/>
  <c r="AE92" i="1"/>
  <c r="N90" i="1"/>
  <c r="AA91" i="1"/>
  <c r="I76" i="1"/>
  <c r="J76" i="1" s="1"/>
  <c r="H76" i="1"/>
  <c r="AG93" i="1" l="1"/>
  <c r="AH93" i="1" s="1"/>
  <c r="AI93" i="1" s="1"/>
  <c r="AB92" i="1"/>
  <c r="AC92" i="1" s="1"/>
  <c r="AD92" i="1" s="1"/>
  <c r="P91" i="1"/>
  <c r="AF93" i="1"/>
  <c r="Q92" i="1"/>
  <c r="AG92" i="1"/>
  <c r="AH92" i="1" s="1"/>
  <c r="AI92" i="1" s="1"/>
  <c r="AF92" i="1"/>
  <c r="AA90" i="1"/>
  <c r="N89" i="1"/>
  <c r="AE91" i="1"/>
  <c r="Y90" i="1"/>
  <c r="H75" i="1"/>
  <c r="I75" i="1"/>
  <c r="J75" i="1" s="1"/>
  <c r="Q91" i="1" l="1"/>
  <c r="AB91" i="1"/>
  <c r="AC91" i="1" s="1"/>
  <c r="AD91" i="1" s="1"/>
  <c r="P90" i="1"/>
  <c r="N88" i="1"/>
  <c r="AA89" i="1"/>
  <c r="I74" i="1"/>
  <c r="J74" i="1" s="1"/>
  <c r="H74" i="1"/>
  <c r="AE90" i="1"/>
  <c r="Y89" i="1"/>
  <c r="AG91" i="1"/>
  <c r="AH91" i="1" s="1"/>
  <c r="AI91" i="1" s="1"/>
  <c r="Q90" i="1" l="1"/>
  <c r="AB90" i="1"/>
  <c r="AC90" i="1" s="1"/>
  <c r="AD90" i="1" s="1"/>
  <c r="P89" i="1"/>
  <c r="AF91" i="1"/>
  <c r="N87" i="1"/>
  <c r="AA88" i="1"/>
  <c r="Y88" i="1"/>
  <c r="AE89" i="1"/>
  <c r="I73" i="1"/>
  <c r="J73" i="1" s="1"/>
  <c r="H73" i="1"/>
  <c r="AG90" i="1"/>
  <c r="AH90" i="1" s="1"/>
  <c r="AI90" i="1" s="1"/>
  <c r="Q89" i="1" l="1"/>
  <c r="AB89" i="1"/>
  <c r="AC89" i="1" s="1"/>
  <c r="AD89" i="1" s="1"/>
  <c r="P88" i="1"/>
  <c r="AF90" i="1"/>
  <c r="N86" i="1"/>
  <c r="AA87" i="1"/>
  <c r="AG89" i="1"/>
  <c r="AH89" i="1" s="1"/>
  <c r="AI89" i="1" s="1"/>
  <c r="AF89" i="1"/>
  <c r="Y87" i="1"/>
  <c r="AE88" i="1"/>
  <c r="I72" i="1"/>
  <c r="J72" i="1" s="1"/>
  <c r="H72" i="1"/>
  <c r="Q88" i="1" l="1"/>
  <c r="AB88" i="1"/>
  <c r="AC88" i="1" s="1"/>
  <c r="AD88" i="1" s="1"/>
  <c r="P87" i="1"/>
  <c r="Y86" i="1"/>
  <c r="AE87" i="1"/>
  <c r="N85" i="1"/>
  <c r="AA86" i="1"/>
  <c r="H71" i="1"/>
  <c r="I71" i="1"/>
  <c r="J71" i="1" s="1"/>
  <c r="AG88" i="1"/>
  <c r="AH88" i="1" s="1"/>
  <c r="AI88" i="1" s="1"/>
  <c r="Q87" i="1" l="1"/>
  <c r="P86" i="1"/>
  <c r="AB87" i="1"/>
  <c r="AC87" i="1" s="1"/>
  <c r="AD87" i="1" s="1"/>
  <c r="AF88" i="1"/>
  <c r="Y85" i="1"/>
  <c r="AE86" i="1"/>
  <c r="H70" i="1"/>
  <c r="I70" i="1"/>
  <c r="J70" i="1" s="1"/>
  <c r="N84" i="1"/>
  <c r="AA85" i="1"/>
  <c r="AF87" i="1"/>
  <c r="AG87" i="1" l="1"/>
  <c r="AH87" i="1" s="1"/>
  <c r="AI87" i="1" s="1"/>
  <c r="Q86" i="1"/>
  <c r="P85" i="1"/>
  <c r="AB86" i="1"/>
  <c r="AC86" i="1" s="1"/>
  <c r="AD86" i="1" s="1"/>
  <c r="H69" i="1"/>
  <c r="I69" i="1"/>
  <c r="J69" i="1" s="1"/>
  <c r="AA84" i="1"/>
  <c r="N83" i="1"/>
  <c r="Y84" i="1"/>
  <c r="AE85" i="1"/>
  <c r="AF86" i="1" l="1"/>
  <c r="AB85" i="1"/>
  <c r="AC85" i="1" s="1"/>
  <c r="AD85" i="1" s="1"/>
  <c r="P84" i="1"/>
  <c r="Q85" i="1"/>
  <c r="AG86" i="1"/>
  <c r="AH86" i="1" s="1"/>
  <c r="AI86" i="1" s="1"/>
  <c r="AE84" i="1"/>
  <c r="Y83" i="1"/>
  <c r="I68" i="1"/>
  <c r="J68" i="1" s="1"/>
  <c r="H68" i="1"/>
  <c r="AA83" i="1"/>
  <c r="N82" i="1"/>
  <c r="AF85" i="1"/>
  <c r="AG85" i="1"/>
  <c r="AH85" i="1" s="1"/>
  <c r="AI85" i="1" s="1"/>
  <c r="Q84" i="1" l="1"/>
  <c r="Q83" i="1" s="1"/>
  <c r="P83" i="1"/>
  <c r="AB84" i="1"/>
  <c r="AC84" i="1" s="1"/>
  <c r="AD84" i="1" s="1"/>
  <c r="AA82" i="1"/>
  <c r="N81" i="1"/>
  <c r="H67" i="1"/>
  <c r="I67" i="1"/>
  <c r="J67" i="1" s="1"/>
  <c r="AE83" i="1"/>
  <c r="Y82" i="1"/>
  <c r="AG84" i="1" l="1"/>
  <c r="AH84" i="1" s="1"/>
  <c r="AI84" i="1" s="1"/>
  <c r="P82" i="1"/>
  <c r="AB83" i="1"/>
  <c r="AC83" i="1" s="1"/>
  <c r="AD83" i="1" s="1"/>
  <c r="AF84" i="1"/>
  <c r="AE82" i="1"/>
  <c r="Y81" i="1"/>
  <c r="AG83" i="1"/>
  <c r="AH83" i="1" s="1"/>
  <c r="AI83" i="1" s="1"/>
  <c r="N80" i="1"/>
  <c r="AA81" i="1"/>
  <c r="I66" i="1"/>
  <c r="J66" i="1" s="1"/>
  <c r="H66" i="1"/>
  <c r="AF83" i="1" l="1"/>
  <c r="Q82" i="1"/>
  <c r="P81" i="1"/>
  <c r="AB82" i="1"/>
  <c r="AC82" i="1" s="1"/>
  <c r="AD82" i="1" s="1"/>
  <c r="AA80" i="1"/>
  <c r="N79" i="1"/>
  <c r="AE81" i="1"/>
  <c r="Y80" i="1"/>
  <c r="I65" i="1"/>
  <c r="J65" i="1" s="1"/>
  <c r="H65" i="1"/>
  <c r="AF82" i="1"/>
  <c r="AG82" i="1" l="1"/>
  <c r="AH82" i="1" s="1"/>
  <c r="AI82" i="1" s="1"/>
  <c r="Q81" i="1"/>
  <c r="AB81" i="1"/>
  <c r="AC81" i="1" s="1"/>
  <c r="AD81" i="1" s="1"/>
  <c r="P80" i="1"/>
  <c r="AG81" i="1"/>
  <c r="AH81" i="1" s="1"/>
  <c r="AI81" i="1" s="1"/>
  <c r="I64" i="1"/>
  <c r="J64" i="1" s="1"/>
  <c r="H64" i="1"/>
  <c r="N78" i="1"/>
  <c r="AA79" i="1"/>
  <c r="AE80" i="1"/>
  <c r="Y79" i="1"/>
  <c r="Q80" i="1" l="1"/>
  <c r="P79" i="1"/>
  <c r="AB80" i="1"/>
  <c r="AC80" i="1" s="1"/>
  <c r="AD80" i="1" s="1"/>
  <c r="AF81" i="1"/>
  <c r="Y78" i="1"/>
  <c r="AE79" i="1"/>
  <c r="N77" i="1"/>
  <c r="AA78" i="1"/>
  <c r="H63" i="1"/>
  <c r="I63" i="1"/>
  <c r="J63" i="1" s="1"/>
  <c r="AG80" i="1" l="1"/>
  <c r="AH80" i="1" s="1"/>
  <c r="AI80" i="1" s="1"/>
  <c r="Q79" i="1"/>
  <c r="Q78" i="1" s="1"/>
  <c r="AB79" i="1"/>
  <c r="AC79" i="1" s="1"/>
  <c r="AD79" i="1" s="1"/>
  <c r="P78" i="1"/>
  <c r="AF80" i="1"/>
  <c r="AF79" i="1"/>
  <c r="N76" i="1"/>
  <c r="AA77" i="1"/>
  <c r="I62" i="1"/>
  <c r="J62" i="1" s="1"/>
  <c r="H62" i="1"/>
  <c r="Y77" i="1"/>
  <c r="AE78" i="1"/>
  <c r="AG79" i="1" l="1"/>
  <c r="AH79" i="1" s="1"/>
  <c r="AI79" i="1" s="1"/>
  <c r="P77" i="1"/>
  <c r="AB78" i="1"/>
  <c r="AC78" i="1" s="1"/>
  <c r="AD78" i="1" s="1"/>
  <c r="AF78" i="1"/>
  <c r="Y76" i="1"/>
  <c r="AE77" i="1"/>
  <c r="AA76" i="1"/>
  <c r="N75" i="1"/>
  <c r="H61" i="1"/>
  <c r="I61" i="1"/>
  <c r="J61" i="1" s="1"/>
  <c r="AG78" i="1" l="1"/>
  <c r="AH78" i="1" s="1"/>
  <c r="AI78" i="1" s="1"/>
  <c r="Q77" i="1"/>
  <c r="Q76" i="1" s="1"/>
  <c r="AB77" i="1"/>
  <c r="AC77" i="1" s="1"/>
  <c r="AD77" i="1" s="1"/>
  <c r="P76" i="1"/>
  <c r="AA75" i="1"/>
  <c r="N74" i="1"/>
  <c r="AF77" i="1"/>
  <c r="I60" i="1"/>
  <c r="J60" i="1" s="1"/>
  <c r="H60" i="1"/>
  <c r="AE76" i="1"/>
  <c r="Y75" i="1"/>
  <c r="AG77" i="1" l="1"/>
  <c r="AH77" i="1" s="1"/>
  <c r="AI77" i="1" s="1"/>
  <c r="AB76" i="1"/>
  <c r="AC76" i="1" s="1"/>
  <c r="AD76" i="1" s="1"/>
  <c r="P75" i="1"/>
  <c r="AE75" i="1"/>
  <c r="Y74" i="1"/>
  <c r="H59" i="1"/>
  <c r="I59" i="1"/>
  <c r="J59" i="1" s="1"/>
  <c r="AA74" i="1"/>
  <c r="N73" i="1"/>
  <c r="AF76" i="1"/>
  <c r="Q75" i="1" l="1"/>
  <c r="P74" i="1"/>
  <c r="AB75" i="1"/>
  <c r="AC75" i="1" s="1"/>
  <c r="AD75" i="1" s="1"/>
  <c r="AG76" i="1"/>
  <c r="AH76" i="1" s="1"/>
  <c r="AI76" i="1" s="1"/>
  <c r="I58" i="1"/>
  <c r="J58" i="1" s="1"/>
  <c r="H58" i="1"/>
  <c r="N72" i="1"/>
  <c r="AA73" i="1"/>
  <c r="AE74" i="1"/>
  <c r="Y73" i="1"/>
  <c r="AG75" i="1" l="1"/>
  <c r="AH75" i="1" s="1"/>
  <c r="AI75" i="1" s="1"/>
  <c r="Q74" i="1"/>
  <c r="P73" i="1"/>
  <c r="AB74" i="1"/>
  <c r="AC74" i="1" s="1"/>
  <c r="AD74" i="1" s="1"/>
  <c r="AF75" i="1"/>
  <c r="AE73" i="1"/>
  <c r="Y72" i="1"/>
  <c r="AF74" i="1"/>
  <c r="I57" i="1"/>
  <c r="J57" i="1" s="1"/>
  <c r="H57" i="1"/>
  <c r="AA72" i="1"/>
  <c r="N71" i="1"/>
  <c r="AG74" i="1" l="1"/>
  <c r="AH74" i="1" s="1"/>
  <c r="AI74" i="1" s="1"/>
  <c r="Q73" i="1"/>
  <c r="AB73" i="1"/>
  <c r="AC73" i="1" s="1"/>
  <c r="AD73" i="1" s="1"/>
  <c r="P72" i="1"/>
  <c r="I56" i="1"/>
  <c r="J56" i="1" s="1"/>
  <c r="H56" i="1"/>
  <c r="N70" i="1"/>
  <c r="AA71" i="1"/>
  <c r="AE72" i="1"/>
  <c r="Y71" i="1"/>
  <c r="AG73" i="1"/>
  <c r="AH73" i="1" s="1"/>
  <c r="AI73" i="1" s="1"/>
  <c r="AB72" i="1" l="1"/>
  <c r="AC72" i="1" s="1"/>
  <c r="AD72" i="1" s="1"/>
  <c r="P71" i="1"/>
  <c r="AF73" i="1"/>
  <c r="Q72" i="1"/>
  <c r="AG72" i="1"/>
  <c r="AH72" i="1" s="1"/>
  <c r="AI72" i="1" s="1"/>
  <c r="AF72" i="1"/>
  <c r="H55" i="1"/>
  <c r="I55" i="1"/>
  <c r="J55" i="1" s="1"/>
  <c r="Y70" i="1"/>
  <c r="AE71" i="1"/>
  <c r="N69" i="1"/>
  <c r="AA70" i="1"/>
  <c r="Q71" i="1" l="1"/>
  <c r="P70" i="1"/>
  <c r="AB71" i="1"/>
  <c r="AC71" i="1" s="1"/>
  <c r="AD71" i="1" s="1"/>
  <c r="Y69" i="1"/>
  <c r="AE70" i="1"/>
  <c r="N68" i="1"/>
  <c r="AA69" i="1"/>
  <c r="I54" i="1"/>
  <c r="J54" i="1" s="1"/>
  <c r="H54" i="1"/>
  <c r="Q70" i="1" l="1"/>
  <c r="P69" i="1"/>
  <c r="AB70" i="1"/>
  <c r="AC70" i="1" s="1"/>
  <c r="AD70" i="1" s="1"/>
  <c r="AF71" i="1"/>
  <c r="AG71" i="1"/>
  <c r="AH71" i="1" s="1"/>
  <c r="AI71" i="1" s="1"/>
  <c r="AA68" i="1"/>
  <c r="N67" i="1"/>
  <c r="I53" i="1"/>
  <c r="J53" i="1" s="1"/>
  <c r="H53" i="1"/>
  <c r="Y68" i="1"/>
  <c r="AE69" i="1"/>
  <c r="AF70" i="1" l="1"/>
  <c r="Q69" i="1"/>
  <c r="AB69" i="1"/>
  <c r="AC69" i="1" s="1"/>
  <c r="AD69" i="1" s="1"/>
  <c r="P68" i="1"/>
  <c r="AG70" i="1"/>
  <c r="AH70" i="1" s="1"/>
  <c r="AI70" i="1" s="1"/>
  <c r="AG69" i="1"/>
  <c r="AH69" i="1" s="1"/>
  <c r="AI69" i="1" s="1"/>
  <c r="AA67" i="1"/>
  <c r="N66" i="1"/>
  <c r="H52" i="1"/>
  <c r="I52" i="1"/>
  <c r="J52" i="1" s="1"/>
  <c r="AE68" i="1"/>
  <c r="Y67" i="1"/>
  <c r="AF69" i="1" l="1"/>
  <c r="Q68" i="1"/>
  <c r="AB68" i="1"/>
  <c r="AC68" i="1" s="1"/>
  <c r="AD68" i="1" s="1"/>
  <c r="P67" i="1"/>
  <c r="AE67" i="1"/>
  <c r="Y66" i="1"/>
  <c r="AA66" i="1"/>
  <c r="N65" i="1"/>
  <c r="I51" i="1"/>
  <c r="J51" i="1" s="1"/>
  <c r="H51" i="1"/>
  <c r="AF68" i="1"/>
  <c r="AG68" i="1"/>
  <c r="AH68" i="1" s="1"/>
  <c r="AI68" i="1" s="1"/>
  <c r="Q67" i="1" l="1"/>
  <c r="P66" i="1"/>
  <c r="AB67" i="1"/>
  <c r="AC67" i="1" s="1"/>
  <c r="AD67" i="1" s="1"/>
  <c r="N64" i="1"/>
  <c r="AA65" i="1"/>
  <c r="I50" i="1"/>
  <c r="J50" i="1" s="1"/>
  <c r="H50" i="1"/>
  <c r="AE66" i="1"/>
  <c r="Y65" i="1"/>
  <c r="AF67" i="1"/>
  <c r="AG67" i="1"/>
  <c r="AH67" i="1" s="1"/>
  <c r="AI67" i="1" s="1"/>
  <c r="Q66" i="1" l="1"/>
  <c r="P65" i="1"/>
  <c r="AB66" i="1"/>
  <c r="AC66" i="1" s="1"/>
  <c r="AD66" i="1" s="1"/>
  <c r="AF66" i="1"/>
  <c r="AA64" i="1"/>
  <c r="N63" i="1"/>
  <c r="AE65" i="1"/>
  <c r="Y64" i="1"/>
  <c r="I49" i="1"/>
  <c r="J49" i="1" s="1"/>
  <c r="H49" i="1"/>
  <c r="Q65" i="1" l="1"/>
  <c r="P64" i="1"/>
  <c r="AB65" i="1"/>
  <c r="AC65" i="1" s="1"/>
  <c r="AD65" i="1" s="1"/>
  <c r="AG66" i="1"/>
  <c r="AH66" i="1" s="1"/>
  <c r="AI66" i="1" s="1"/>
  <c r="AA63" i="1"/>
  <c r="N62" i="1"/>
  <c r="AF65" i="1"/>
  <c r="AG65" i="1"/>
  <c r="AH65" i="1" s="1"/>
  <c r="AI65" i="1" s="1"/>
  <c r="H48" i="1"/>
  <c r="I48" i="1"/>
  <c r="J48" i="1" s="1"/>
  <c r="AE64" i="1"/>
  <c r="Y63" i="1"/>
  <c r="Q64" i="1" l="1"/>
  <c r="P63" i="1"/>
  <c r="AB64" i="1"/>
  <c r="AC64" i="1" s="1"/>
  <c r="AD64" i="1" s="1"/>
  <c r="AG64" i="1"/>
  <c r="AH64" i="1" s="1"/>
  <c r="AI64" i="1" s="1"/>
  <c r="AF64" i="1"/>
  <c r="I47" i="1"/>
  <c r="J47" i="1" s="1"/>
  <c r="H47" i="1"/>
  <c r="AE63" i="1"/>
  <c r="Y62" i="1"/>
  <c r="AA62" i="1"/>
  <c r="N61" i="1"/>
  <c r="Q63" i="1" l="1"/>
  <c r="AB63" i="1"/>
  <c r="AC63" i="1" s="1"/>
  <c r="AD63" i="1" s="1"/>
  <c r="P62" i="1"/>
  <c r="I46" i="1"/>
  <c r="J46" i="1" s="1"/>
  <c r="H46" i="1"/>
  <c r="AA61" i="1"/>
  <c r="N60" i="1"/>
  <c r="AE62" i="1"/>
  <c r="Y61" i="1"/>
  <c r="AG63" i="1"/>
  <c r="AH63" i="1" s="1"/>
  <c r="AI63" i="1" s="1"/>
  <c r="AF63" i="1"/>
  <c r="Q62" i="1" l="1"/>
  <c r="AB62" i="1"/>
  <c r="AC62" i="1" s="1"/>
  <c r="AD62" i="1" s="1"/>
  <c r="P61" i="1"/>
  <c r="AE61" i="1"/>
  <c r="Y60" i="1"/>
  <c r="I45" i="1"/>
  <c r="J45" i="1" s="1"/>
  <c r="H45" i="1"/>
  <c r="AG62" i="1"/>
  <c r="AH62" i="1" s="1"/>
  <c r="AI62" i="1" s="1"/>
  <c r="AA60" i="1"/>
  <c r="N59" i="1"/>
  <c r="AF62" i="1" l="1"/>
  <c r="Q61" i="1"/>
  <c r="P60" i="1"/>
  <c r="AB61" i="1"/>
  <c r="AC61" i="1" s="1"/>
  <c r="AD61" i="1" s="1"/>
  <c r="AE60" i="1"/>
  <c r="Y59" i="1"/>
  <c r="N58" i="1"/>
  <c r="AA59" i="1"/>
  <c r="H44" i="1"/>
  <c r="I44" i="1"/>
  <c r="J44" i="1" s="1"/>
  <c r="AF61" i="1"/>
  <c r="AG61" i="1"/>
  <c r="AH61" i="1" s="1"/>
  <c r="AI61" i="1" s="1"/>
  <c r="Q60" i="1" l="1"/>
  <c r="AB60" i="1"/>
  <c r="AC60" i="1" s="1"/>
  <c r="AD60" i="1" s="1"/>
  <c r="P59" i="1"/>
  <c r="N57" i="1"/>
  <c r="AA58" i="1"/>
  <c r="AE59" i="1"/>
  <c r="Y58" i="1"/>
  <c r="I43" i="1"/>
  <c r="J43" i="1" s="1"/>
  <c r="H43" i="1"/>
  <c r="AG60" i="1"/>
  <c r="AH60" i="1" s="1"/>
  <c r="AI60" i="1" s="1"/>
  <c r="AF60" i="1"/>
  <c r="Q59" i="1" l="1"/>
  <c r="AB59" i="1"/>
  <c r="AC59" i="1" s="1"/>
  <c r="AD59" i="1" s="1"/>
  <c r="P58" i="1"/>
  <c r="I42" i="1"/>
  <c r="J42" i="1" s="1"/>
  <c r="H42" i="1"/>
  <c r="N56" i="1"/>
  <c r="AA57" i="1"/>
  <c r="AE58" i="1"/>
  <c r="Y57" i="1"/>
  <c r="AF59" i="1" l="1"/>
  <c r="Q58" i="1"/>
  <c r="P57" i="1"/>
  <c r="AB58" i="1"/>
  <c r="AC58" i="1" s="1"/>
  <c r="AD58" i="1" s="1"/>
  <c r="AG59" i="1"/>
  <c r="AH59" i="1" s="1"/>
  <c r="AI59" i="1" s="1"/>
  <c r="AA56" i="1"/>
  <c r="N55" i="1"/>
  <c r="AE57" i="1"/>
  <c r="Y56" i="1"/>
  <c r="I41" i="1"/>
  <c r="J41" i="1" s="1"/>
  <c r="H41" i="1"/>
  <c r="AF58" i="1" l="1"/>
  <c r="Q57" i="1"/>
  <c r="AB57" i="1"/>
  <c r="AC57" i="1" s="1"/>
  <c r="AD57" i="1" s="1"/>
  <c r="P56" i="1"/>
  <c r="AG58" i="1"/>
  <c r="AH58" i="1" s="1"/>
  <c r="AI58" i="1" s="1"/>
  <c r="H40" i="1"/>
  <c r="I40" i="1"/>
  <c r="J40" i="1" s="1"/>
  <c r="N54" i="1"/>
  <c r="AA55" i="1"/>
  <c r="AE56" i="1"/>
  <c r="Y55" i="1"/>
  <c r="AF57" i="1"/>
  <c r="AG57" i="1"/>
  <c r="AH57" i="1" s="1"/>
  <c r="AI57" i="1" s="1"/>
  <c r="Q56" i="1" l="1"/>
  <c r="P55" i="1"/>
  <c r="AB56" i="1"/>
  <c r="AC56" i="1" s="1"/>
  <c r="AD56" i="1" s="1"/>
  <c r="N53" i="1"/>
  <c r="AA54" i="1"/>
  <c r="AE55" i="1"/>
  <c r="Y54" i="1"/>
  <c r="AF56" i="1"/>
  <c r="I39" i="1"/>
  <c r="J39" i="1" s="1"/>
  <c r="H39" i="1"/>
  <c r="AG56" i="1" l="1"/>
  <c r="AH56" i="1" s="1"/>
  <c r="AI56" i="1" s="1"/>
  <c r="Q55" i="1"/>
  <c r="P54" i="1"/>
  <c r="AB55" i="1"/>
  <c r="AC55" i="1" s="1"/>
  <c r="AD55" i="1" s="1"/>
  <c r="AE54" i="1"/>
  <c r="Y53" i="1"/>
  <c r="I38" i="1"/>
  <c r="J38" i="1" s="1"/>
  <c r="H38" i="1"/>
  <c r="AG55" i="1"/>
  <c r="AH55" i="1" s="1"/>
  <c r="AI55" i="1" s="1"/>
  <c r="AF55" i="1"/>
  <c r="AA53" i="1"/>
  <c r="N52" i="1"/>
  <c r="Q54" i="1" l="1"/>
  <c r="P53" i="1"/>
  <c r="AB54" i="1"/>
  <c r="AC54" i="1" s="1"/>
  <c r="AD54" i="1" s="1"/>
  <c r="AG54" i="1"/>
  <c r="AH54" i="1" s="1"/>
  <c r="AI54" i="1" s="1"/>
  <c r="AF54" i="1"/>
  <c r="AA52" i="1"/>
  <c r="N51" i="1"/>
  <c r="AE53" i="1"/>
  <c r="Y52" i="1"/>
  <c r="I37" i="1"/>
  <c r="J37" i="1" s="1"/>
  <c r="H37" i="1"/>
  <c r="Q53" i="1" l="1"/>
  <c r="AB53" i="1"/>
  <c r="AC53" i="1" s="1"/>
  <c r="AD53" i="1" s="1"/>
  <c r="P52" i="1"/>
  <c r="AF53" i="1"/>
  <c r="AG53" i="1"/>
  <c r="AH53" i="1" s="1"/>
  <c r="AI53" i="1" s="1"/>
  <c r="H36" i="1"/>
  <c r="I36" i="1"/>
  <c r="J36" i="1" s="1"/>
  <c r="N50" i="1"/>
  <c r="AA51" i="1"/>
  <c r="AE52" i="1"/>
  <c r="Y51" i="1"/>
  <c r="Q52" i="1" l="1"/>
  <c r="P51" i="1"/>
  <c r="AB52" i="1"/>
  <c r="AC52" i="1" s="1"/>
  <c r="AD52" i="1" s="1"/>
  <c r="I35" i="1"/>
  <c r="J35" i="1" s="1"/>
  <c r="H35" i="1"/>
  <c r="AE51" i="1"/>
  <c r="Y50" i="1"/>
  <c r="AG52" i="1"/>
  <c r="AH52" i="1" s="1"/>
  <c r="AI52" i="1" s="1"/>
  <c r="AF52" i="1"/>
  <c r="N49" i="1"/>
  <c r="AA50" i="1"/>
  <c r="Q51" i="1" l="1"/>
  <c r="AB51" i="1"/>
  <c r="AC51" i="1" s="1"/>
  <c r="AD51" i="1" s="1"/>
  <c r="P50" i="1"/>
  <c r="AE50" i="1"/>
  <c r="Y49" i="1"/>
  <c r="AG51" i="1"/>
  <c r="AH51" i="1" s="1"/>
  <c r="AI51" i="1" s="1"/>
  <c r="AF51" i="1"/>
  <c r="I34" i="1"/>
  <c r="J34" i="1" s="1"/>
  <c r="H34" i="1"/>
  <c r="AA49" i="1"/>
  <c r="N48" i="1"/>
  <c r="Q50" i="1" l="1"/>
  <c r="AB50" i="1"/>
  <c r="AC50" i="1" s="1"/>
  <c r="AD50" i="1" s="1"/>
  <c r="P49" i="1"/>
  <c r="AG50" i="1"/>
  <c r="AH50" i="1" s="1"/>
  <c r="AI50" i="1" s="1"/>
  <c r="AA48" i="1"/>
  <c r="N47" i="1"/>
  <c r="I33" i="1"/>
  <c r="J33" i="1" s="1"/>
  <c r="H33" i="1"/>
  <c r="AE49" i="1"/>
  <c r="Y48" i="1"/>
  <c r="Q49" i="1" l="1"/>
  <c r="P48" i="1"/>
  <c r="AB49" i="1"/>
  <c r="AC49" i="1" s="1"/>
  <c r="AD49" i="1" s="1"/>
  <c r="AF50" i="1"/>
  <c r="AF49" i="1"/>
  <c r="H32" i="1"/>
  <c r="I32" i="1"/>
  <c r="J32" i="1" s="1"/>
  <c r="AE48" i="1"/>
  <c r="Y47" i="1"/>
  <c r="N46" i="1"/>
  <c r="AA47" i="1"/>
  <c r="AG49" i="1" l="1"/>
  <c r="AH49" i="1" s="1"/>
  <c r="AI49" i="1" s="1"/>
  <c r="Q48" i="1"/>
  <c r="P47" i="1"/>
  <c r="AB48" i="1"/>
  <c r="AC48" i="1" s="1"/>
  <c r="AD48" i="1" s="1"/>
  <c r="N45" i="1"/>
  <c r="AA46" i="1"/>
  <c r="I31" i="1"/>
  <c r="J31" i="1" s="1"/>
  <c r="H31" i="1"/>
  <c r="AE47" i="1"/>
  <c r="Y46" i="1"/>
  <c r="AF48" i="1" l="1"/>
  <c r="AG48" i="1"/>
  <c r="AH48" i="1" s="1"/>
  <c r="AI48" i="1" s="1"/>
  <c r="Q47" i="1"/>
  <c r="AB47" i="1"/>
  <c r="AC47" i="1" s="1"/>
  <c r="AD47" i="1" s="1"/>
  <c r="P46" i="1"/>
  <c r="AA45" i="1"/>
  <c r="N44" i="1"/>
  <c r="AE46" i="1"/>
  <c r="Y45" i="1"/>
  <c r="I30" i="1"/>
  <c r="J30" i="1" s="1"/>
  <c r="H30" i="1"/>
  <c r="AG47" i="1" l="1"/>
  <c r="AH47" i="1" s="1"/>
  <c r="AI47" i="1" s="1"/>
  <c r="AF47" i="1"/>
  <c r="Q46" i="1"/>
  <c r="AB46" i="1"/>
  <c r="AC46" i="1" s="1"/>
  <c r="AD46" i="1" s="1"/>
  <c r="P45" i="1"/>
  <c r="AE45" i="1"/>
  <c r="Y44" i="1"/>
  <c r="AF46" i="1"/>
  <c r="I29" i="1"/>
  <c r="J29" i="1" s="1"/>
  <c r="H29" i="1"/>
  <c r="AA44" i="1"/>
  <c r="N43" i="1"/>
  <c r="AG46" i="1" l="1"/>
  <c r="AH46" i="1" s="1"/>
  <c r="AI46" i="1" s="1"/>
  <c r="Q45" i="1"/>
  <c r="Q44" i="1" s="1"/>
  <c r="P44" i="1"/>
  <c r="AB45" i="1"/>
  <c r="AC45" i="1" s="1"/>
  <c r="AD45" i="1" s="1"/>
  <c r="AF45" i="1"/>
  <c r="H28" i="1"/>
  <c r="I28" i="1"/>
  <c r="J28" i="1" s="1"/>
  <c r="N42" i="1"/>
  <c r="AA43" i="1"/>
  <c r="AE44" i="1"/>
  <c r="Y43" i="1"/>
  <c r="P43" i="1" l="1"/>
  <c r="AB44" i="1"/>
  <c r="AC44" i="1" s="1"/>
  <c r="AD44" i="1" s="1"/>
  <c r="AG45" i="1"/>
  <c r="AH45" i="1" s="1"/>
  <c r="AI45" i="1" s="1"/>
  <c r="I27" i="1"/>
  <c r="J27" i="1" s="1"/>
  <c r="H27" i="1"/>
  <c r="AE43" i="1"/>
  <c r="Y42" i="1"/>
  <c r="AG44" i="1"/>
  <c r="AH44" i="1" s="1"/>
  <c r="AI44" i="1" s="1"/>
  <c r="AF44" i="1"/>
  <c r="N41" i="1"/>
  <c r="AA42" i="1"/>
  <c r="Q43" i="1" l="1"/>
  <c r="AB43" i="1"/>
  <c r="AC43" i="1" s="1"/>
  <c r="AD43" i="1" s="1"/>
  <c r="P42" i="1"/>
  <c r="I26" i="1"/>
  <c r="J26" i="1" s="1"/>
  <c r="H26" i="1"/>
  <c r="AE42" i="1"/>
  <c r="Y41" i="1"/>
  <c r="AA41" i="1"/>
  <c r="N40" i="1"/>
  <c r="AG43" i="1"/>
  <c r="AH43" i="1" s="1"/>
  <c r="AI43" i="1" s="1"/>
  <c r="AF43" i="1" l="1"/>
  <c r="Q42" i="1"/>
  <c r="P41" i="1"/>
  <c r="AB42" i="1"/>
  <c r="AC42" i="1" s="1"/>
  <c r="AD42" i="1" s="1"/>
  <c r="AE41" i="1"/>
  <c r="Y40" i="1"/>
  <c r="AG42" i="1"/>
  <c r="AH42" i="1" s="1"/>
  <c r="AI42" i="1" s="1"/>
  <c r="AA40" i="1"/>
  <c r="N39" i="1"/>
  <c r="I25" i="1"/>
  <c r="J25" i="1" s="1"/>
  <c r="H25" i="1"/>
  <c r="AF42" i="1" l="1"/>
  <c r="Q41" i="1"/>
  <c r="P40" i="1"/>
  <c r="AB41" i="1"/>
  <c r="AC41" i="1" s="1"/>
  <c r="AD41" i="1" s="1"/>
  <c r="H24" i="1"/>
  <c r="I24" i="1"/>
  <c r="J24" i="1" s="1"/>
  <c r="N38" i="1"/>
  <c r="AA39" i="1"/>
  <c r="AE40" i="1"/>
  <c r="Y39" i="1"/>
  <c r="AF41" i="1" l="1"/>
  <c r="Q40" i="1"/>
  <c r="P39" i="1"/>
  <c r="AB40" i="1"/>
  <c r="AC40" i="1" s="1"/>
  <c r="AD40" i="1" s="1"/>
  <c r="AG41" i="1"/>
  <c r="AH41" i="1" s="1"/>
  <c r="AI41" i="1" s="1"/>
  <c r="N37" i="1"/>
  <c r="AA38" i="1"/>
  <c r="I23" i="1"/>
  <c r="J23" i="1" s="1"/>
  <c r="H23" i="1"/>
  <c r="AE39" i="1"/>
  <c r="Y38" i="1"/>
  <c r="AF40" i="1"/>
  <c r="AG40" i="1" l="1"/>
  <c r="AH40" i="1" s="1"/>
  <c r="AI40" i="1" s="1"/>
  <c r="Q39" i="1"/>
  <c r="AB39" i="1"/>
  <c r="AC39" i="1" s="1"/>
  <c r="AD39" i="1" s="1"/>
  <c r="P38" i="1"/>
  <c r="I22" i="1"/>
  <c r="J22" i="1" s="1"/>
  <c r="H22" i="1"/>
  <c r="AE38" i="1"/>
  <c r="Y37" i="1"/>
  <c r="AA37" i="1"/>
  <c r="N36" i="1"/>
  <c r="AG39" i="1" l="1"/>
  <c r="AH39" i="1" s="1"/>
  <c r="AI39" i="1" s="1"/>
  <c r="AF39" i="1"/>
  <c r="Q38" i="1"/>
  <c r="AB38" i="1"/>
  <c r="AC38" i="1" s="1"/>
  <c r="AD38" i="1" s="1"/>
  <c r="P37" i="1"/>
  <c r="AE37" i="1"/>
  <c r="Y36" i="1"/>
  <c r="AA36" i="1"/>
  <c r="N35" i="1"/>
  <c r="I21" i="1"/>
  <c r="J21" i="1" s="1"/>
  <c r="H21" i="1"/>
  <c r="AF38" i="1"/>
  <c r="AG38" i="1" l="1"/>
  <c r="AH38" i="1" s="1"/>
  <c r="AI38" i="1" s="1"/>
  <c r="Q37" i="1"/>
  <c r="P36" i="1"/>
  <c r="AB37" i="1"/>
  <c r="AC37" i="1" s="1"/>
  <c r="AD37" i="1" s="1"/>
  <c r="N34" i="1"/>
  <c r="AA35" i="1"/>
  <c r="H20" i="1"/>
  <c r="I20" i="1"/>
  <c r="J20" i="1" s="1"/>
  <c r="AE36" i="1"/>
  <c r="Y35" i="1"/>
  <c r="AF37" i="1"/>
  <c r="Q36" i="1" l="1"/>
  <c r="P35" i="1"/>
  <c r="AB36" i="1"/>
  <c r="AC36" i="1" s="1"/>
  <c r="AD36" i="1" s="1"/>
  <c r="AG37" i="1"/>
  <c r="AH37" i="1" s="1"/>
  <c r="AI37" i="1" s="1"/>
  <c r="I19" i="1"/>
  <c r="J19" i="1" s="1"/>
  <c r="H19" i="1"/>
  <c r="N33" i="1"/>
  <c r="AA34" i="1"/>
  <c r="AE35" i="1"/>
  <c r="Y34" i="1"/>
  <c r="AF36" i="1"/>
  <c r="AG36" i="1" l="1"/>
  <c r="AH36" i="1" s="1"/>
  <c r="AI36" i="1" s="1"/>
  <c r="Q35" i="1"/>
  <c r="P34" i="1"/>
  <c r="AB35" i="1"/>
  <c r="AC35" i="1" s="1"/>
  <c r="AD35" i="1" s="1"/>
  <c r="AA33" i="1"/>
  <c r="N32" i="1"/>
  <c r="AE34" i="1"/>
  <c r="Y33" i="1"/>
  <c r="I18" i="1"/>
  <c r="J18" i="1" s="1"/>
  <c r="H18" i="1"/>
  <c r="AF35" i="1"/>
  <c r="Q34" i="1" l="1"/>
  <c r="AB34" i="1"/>
  <c r="AC34" i="1" s="1"/>
  <c r="AD34" i="1" s="1"/>
  <c r="P33" i="1"/>
  <c r="AG35" i="1"/>
  <c r="AH35" i="1" s="1"/>
  <c r="AI35" i="1" s="1"/>
  <c r="I17" i="1"/>
  <c r="J17" i="1" s="1"/>
  <c r="H17" i="1"/>
  <c r="AA32" i="1"/>
  <c r="N31" i="1"/>
  <c r="AE33" i="1"/>
  <c r="Y32" i="1"/>
  <c r="AG34" i="1" l="1"/>
  <c r="AH34" i="1" s="1"/>
  <c r="AI34" i="1" s="1"/>
  <c r="AF34" i="1"/>
  <c r="Q33" i="1"/>
  <c r="AB33" i="1"/>
  <c r="AC33" i="1" s="1"/>
  <c r="AD33" i="1" s="1"/>
  <c r="P32" i="1"/>
  <c r="N30" i="1"/>
  <c r="AA31" i="1"/>
  <c r="Y31" i="1"/>
  <c r="AE32" i="1"/>
  <c r="I16" i="1"/>
  <c r="J16" i="1" s="1"/>
  <c r="H16" i="1"/>
  <c r="AF33" i="1" l="1"/>
  <c r="AG33" i="1"/>
  <c r="AH33" i="1" s="1"/>
  <c r="AI33" i="1" s="1"/>
  <c r="Q32" i="1"/>
  <c r="P31" i="1"/>
  <c r="AB32" i="1"/>
  <c r="AC32" i="1" s="1"/>
  <c r="AD32" i="1" s="1"/>
  <c r="H15" i="1"/>
  <c r="I15" i="1"/>
  <c r="J15" i="1" s="1"/>
  <c r="AF32" i="1"/>
  <c r="AE31" i="1"/>
  <c r="Y30" i="1"/>
  <c r="N29" i="1"/>
  <c r="AA30" i="1"/>
  <c r="AG32" i="1" l="1"/>
  <c r="AH32" i="1" s="1"/>
  <c r="AI32" i="1" s="1"/>
  <c r="Q31" i="1"/>
  <c r="AB31" i="1"/>
  <c r="AC31" i="1" s="1"/>
  <c r="AD31" i="1" s="1"/>
  <c r="P30" i="1"/>
  <c r="I14" i="1"/>
  <c r="J14" i="1" s="1"/>
  <c r="H14" i="1"/>
  <c r="AE30" i="1"/>
  <c r="Y29" i="1"/>
  <c r="AA29" i="1"/>
  <c r="N28" i="1"/>
  <c r="AF31" i="1" l="1"/>
  <c r="AG31" i="1"/>
  <c r="AH31" i="1" s="1"/>
  <c r="AI31" i="1" s="1"/>
  <c r="Q30" i="1"/>
  <c r="P29" i="1"/>
  <c r="AB30" i="1"/>
  <c r="AC30" i="1" s="1"/>
  <c r="AD30" i="1" s="1"/>
  <c r="AA28" i="1"/>
  <c r="N27" i="1"/>
  <c r="I13" i="1"/>
  <c r="J13" i="1" s="1"/>
  <c r="H13" i="1"/>
  <c r="AE29" i="1"/>
  <c r="Y28" i="1"/>
  <c r="AF30" i="1"/>
  <c r="AG30" i="1"/>
  <c r="AH30" i="1" s="1"/>
  <c r="AI30" i="1" s="1"/>
  <c r="Q29" i="1" l="1"/>
  <c r="P28" i="1"/>
  <c r="AB29" i="1"/>
  <c r="AC29" i="1" s="1"/>
  <c r="AD29" i="1" s="1"/>
  <c r="I12" i="1"/>
  <c r="J12" i="1" s="1"/>
  <c r="H12" i="1"/>
  <c r="AE28" i="1"/>
  <c r="Y27" i="1"/>
  <c r="N26" i="1"/>
  <c r="AA27" i="1"/>
  <c r="Q28" i="1" l="1"/>
  <c r="P27" i="1"/>
  <c r="AB28" i="1"/>
  <c r="AC28" i="1" s="1"/>
  <c r="AD28" i="1" s="1"/>
  <c r="AF29" i="1"/>
  <c r="AG29" i="1"/>
  <c r="AH29" i="1" s="1"/>
  <c r="AI29" i="1" s="1"/>
  <c r="AE27" i="1"/>
  <c r="Y26" i="1"/>
  <c r="H11" i="1"/>
  <c r="I11" i="1"/>
  <c r="J11" i="1" s="1"/>
  <c r="N25" i="1"/>
  <c r="AA26" i="1"/>
  <c r="AG28" i="1"/>
  <c r="AH28" i="1" s="1"/>
  <c r="AI28" i="1" s="1"/>
  <c r="AF28" i="1"/>
  <c r="Q27" i="1" l="1"/>
  <c r="AB27" i="1"/>
  <c r="AC27" i="1" s="1"/>
  <c r="AD27" i="1" s="1"/>
  <c r="P26" i="1"/>
  <c r="AA25" i="1"/>
  <c r="N24" i="1"/>
  <c r="AE26" i="1"/>
  <c r="Y25" i="1"/>
  <c r="I10" i="1"/>
  <c r="J10" i="1" s="1"/>
  <c r="H10" i="1"/>
  <c r="AG27" i="1"/>
  <c r="AH27" i="1" s="1"/>
  <c r="AI27" i="1" s="1"/>
  <c r="AF27" i="1"/>
  <c r="Q26" i="1" l="1"/>
  <c r="AB26" i="1"/>
  <c r="AC26" i="1" s="1"/>
  <c r="AD26" i="1" s="1"/>
  <c r="P25" i="1"/>
  <c r="AE25" i="1"/>
  <c r="Y24" i="1"/>
  <c r="AA24" i="1"/>
  <c r="N23" i="1"/>
  <c r="AF26" i="1"/>
  <c r="AG26" i="1"/>
  <c r="AH26" i="1" s="1"/>
  <c r="AI26" i="1" s="1"/>
  <c r="Q25" i="1" l="1"/>
  <c r="P24" i="1"/>
  <c r="AB25" i="1"/>
  <c r="AC25" i="1" s="1"/>
  <c r="AD25" i="1" s="1"/>
  <c r="AE24" i="1"/>
  <c r="Y23" i="1"/>
  <c r="AF25" i="1"/>
  <c r="N22" i="1"/>
  <c r="AA23" i="1"/>
  <c r="AG25" i="1" l="1"/>
  <c r="AH25" i="1" s="1"/>
  <c r="AI25" i="1" s="1"/>
  <c r="Q24" i="1"/>
  <c r="P23" i="1"/>
  <c r="AB24" i="1"/>
  <c r="AC24" i="1" s="1"/>
  <c r="AD24" i="1" s="1"/>
  <c r="AE23" i="1"/>
  <c r="Y22" i="1"/>
  <c r="N21" i="1"/>
  <c r="AA22" i="1"/>
  <c r="Q23" i="1" l="1"/>
  <c r="AB23" i="1"/>
  <c r="AC23" i="1" s="1"/>
  <c r="AD23" i="1" s="1"/>
  <c r="P22" i="1"/>
  <c r="AF24" i="1"/>
  <c r="AG24" i="1"/>
  <c r="AH24" i="1" s="1"/>
  <c r="AI24" i="1" s="1"/>
  <c r="AE22" i="1"/>
  <c r="Y21" i="1"/>
  <c r="AA21" i="1"/>
  <c r="N20" i="1"/>
  <c r="Q22" i="1" l="1"/>
  <c r="AB22" i="1"/>
  <c r="AC22" i="1" s="1"/>
  <c r="AD22" i="1" s="1"/>
  <c r="P21" i="1"/>
  <c r="AF23" i="1"/>
  <c r="AG23" i="1"/>
  <c r="AH23" i="1" s="1"/>
  <c r="AI23" i="1" s="1"/>
  <c r="AA20" i="1"/>
  <c r="N19" i="1"/>
  <c r="AE21" i="1"/>
  <c r="Y20" i="1"/>
  <c r="AF22" i="1"/>
  <c r="AG22" i="1"/>
  <c r="AH22" i="1" s="1"/>
  <c r="AI22" i="1" s="1"/>
  <c r="Q21" i="1" l="1"/>
  <c r="Q20" i="1" s="1"/>
  <c r="AB21" i="1"/>
  <c r="AC21" i="1" s="1"/>
  <c r="AD21" i="1" s="1"/>
  <c r="P20" i="1"/>
  <c r="N18" i="1"/>
  <c r="AA19" i="1"/>
  <c r="AE20" i="1"/>
  <c r="Y19" i="1"/>
  <c r="Q19" i="1" l="1"/>
  <c r="AF21" i="1"/>
  <c r="AG21" i="1"/>
  <c r="AH21" i="1" s="1"/>
  <c r="AI21" i="1" s="1"/>
  <c r="P19" i="1"/>
  <c r="AB20" i="1"/>
  <c r="AC20" i="1" s="1"/>
  <c r="AD20" i="1" s="1"/>
  <c r="AE19" i="1"/>
  <c r="Y18" i="1"/>
  <c r="AG20" i="1"/>
  <c r="AH20" i="1" s="1"/>
  <c r="AI20" i="1" s="1"/>
  <c r="AA18" i="1"/>
  <c r="N17" i="1"/>
  <c r="AF20" i="1" l="1"/>
  <c r="AB19" i="1"/>
  <c r="AC19" i="1" s="1"/>
  <c r="AD19" i="1" s="1"/>
  <c r="P18" i="1"/>
  <c r="AE18" i="1"/>
  <c r="Y17" i="1"/>
  <c r="AA17" i="1"/>
  <c r="N16" i="1"/>
  <c r="AG19" i="1"/>
  <c r="AH19" i="1" s="1"/>
  <c r="AI19" i="1" s="1"/>
  <c r="AF19" i="1" l="1"/>
  <c r="Q18" i="1"/>
  <c r="AB18" i="1"/>
  <c r="AC18" i="1" s="1"/>
  <c r="AD18" i="1" s="1"/>
  <c r="P17" i="1"/>
  <c r="AF18" i="1"/>
  <c r="AG18" i="1"/>
  <c r="AH18" i="1" s="1"/>
  <c r="AI18" i="1" s="1"/>
  <c r="AE17" i="1"/>
  <c r="Y16" i="1"/>
  <c r="AA16" i="1"/>
  <c r="N15" i="1"/>
  <c r="Q17" i="1" l="1"/>
  <c r="P16" i="1"/>
  <c r="AB17" i="1"/>
  <c r="AC17" i="1" s="1"/>
  <c r="AD17" i="1" s="1"/>
  <c r="AE16" i="1"/>
  <c r="Y15" i="1"/>
  <c r="N14" i="1"/>
  <c r="AA15" i="1"/>
  <c r="AF17" i="1" l="1"/>
  <c r="AB16" i="1"/>
  <c r="AC16" i="1" s="1"/>
  <c r="AD16" i="1" s="1"/>
  <c r="P15" i="1"/>
  <c r="AG17" i="1"/>
  <c r="AH17" i="1" s="1"/>
  <c r="AI17" i="1" s="1"/>
  <c r="Q16" i="1"/>
  <c r="N13" i="1"/>
  <c r="AA14" i="1"/>
  <c r="AE15" i="1"/>
  <c r="Y14" i="1"/>
  <c r="AG16" i="1"/>
  <c r="AH16" i="1" s="1"/>
  <c r="AI16" i="1" s="1"/>
  <c r="Q15" i="1" l="1"/>
  <c r="AB15" i="1"/>
  <c r="AC15" i="1" s="1"/>
  <c r="AD15" i="1" s="1"/>
  <c r="P14" i="1"/>
  <c r="AF16" i="1"/>
  <c r="AE14" i="1"/>
  <c r="Y13" i="1"/>
  <c r="AF15" i="1"/>
  <c r="N12" i="1"/>
  <c r="AA13" i="1"/>
  <c r="P13" i="1" l="1"/>
  <c r="AB14" i="1"/>
  <c r="AC14" i="1" s="1"/>
  <c r="AD14" i="1" s="1"/>
  <c r="AG15" i="1"/>
  <c r="AH15" i="1" s="1"/>
  <c r="AI15" i="1" s="1"/>
  <c r="Q14" i="1"/>
  <c r="AG14" i="1"/>
  <c r="AH14" i="1" s="1"/>
  <c r="AI14" i="1" s="1"/>
  <c r="AF14" i="1"/>
  <c r="AA12" i="1"/>
  <c r="N11" i="1"/>
  <c r="AE13" i="1"/>
  <c r="Y12" i="1"/>
  <c r="Q13" i="1" l="1"/>
  <c r="AB13" i="1"/>
  <c r="AC13" i="1" s="1"/>
  <c r="AD13" i="1" s="1"/>
  <c r="P12" i="1"/>
  <c r="N10" i="1"/>
  <c r="AA10" i="1" s="1"/>
  <c r="AA11" i="1"/>
  <c r="AE12" i="1"/>
  <c r="Y11" i="1"/>
  <c r="AG13" i="1"/>
  <c r="AH13" i="1" s="1"/>
  <c r="AI13" i="1" s="1"/>
  <c r="Q12" i="1" l="1"/>
  <c r="P11" i="1"/>
  <c r="AB12" i="1"/>
  <c r="AC12" i="1" s="1"/>
  <c r="AD12" i="1" s="1"/>
  <c r="AF13" i="1"/>
  <c r="AE11" i="1"/>
  <c r="Y10" i="1"/>
  <c r="AE10" i="1" s="1"/>
  <c r="AF12" i="1"/>
  <c r="AG12" i="1" l="1"/>
  <c r="AH12" i="1" s="1"/>
  <c r="AI12" i="1" s="1"/>
  <c r="Q11" i="1"/>
  <c r="AB11" i="1"/>
  <c r="AC11" i="1" s="1"/>
  <c r="AD11" i="1" s="1"/>
  <c r="P10" i="1"/>
  <c r="AB10" i="1" s="1"/>
  <c r="AC10" i="1" s="1"/>
  <c r="AD10" i="1" s="1"/>
  <c r="AD1" i="1" s="1"/>
  <c r="AG10" i="1"/>
  <c r="AH10" i="1" s="1"/>
  <c r="AI10" i="1" s="1"/>
  <c r="AG11" i="1"/>
  <c r="AH11" i="1" s="1"/>
  <c r="AI11" i="1" s="1"/>
  <c r="AF11" i="1"/>
  <c r="AF10" i="1" l="1"/>
  <c r="Q10" i="1"/>
</calcChain>
</file>

<file path=xl/sharedStrings.xml><?xml version="1.0" encoding="utf-8"?>
<sst xmlns="http://schemas.openxmlformats.org/spreadsheetml/2006/main" count="64" uniqueCount="29">
  <si>
    <t>Sum</t>
  </si>
  <si>
    <t>Potência=</t>
  </si>
  <si>
    <t>Idade</t>
  </si>
  <si>
    <t>l</t>
  </si>
  <si>
    <t>d</t>
  </si>
  <si>
    <t>q</t>
  </si>
  <si>
    <t>p</t>
  </si>
  <si>
    <t>mu</t>
  </si>
  <si>
    <t>e</t>
  </si>
  <si>
    <t>ex</t>
  </si>
  <si>
    <t>D</t>
  </si>
  <si>
    <t>N</t>
  </si>
  <si>
    <t>C</t>
  </si>
  <si>
    <t>M</t>
  </si>
  <si>
    <t>x</t>
  </si>
  <si>
    <t>i=</t>
  </si>
  <si>
    <t>=&gt;</t>
  </si>
  <si>
    <t>v=</t>
  </si>
  <si>
    <t>TV7377</t>
  </si>
  <si>
    <t>c=</t>
  </si>
  <si>
    <t>i* =</t>
  </si>
  <si>
    <t>WholeLifeAnnuityDue by</t>
  </si>
  <si>
    <t>Sobrevivência 1973-1977 e Rendas 1985-1993</t>
  </si>
  <si>
    <t>Teste =</t>
  </si>
  <si>
    <t>d=</t>
  </si>
  <si>
    <t>WholeLifeAnnuityDue</t>
  </si>
  <si>
    <t>WholeLifeInsurance</t>
  </si>
  <si>
    <t>Teste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</si>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</sst>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0E+00"/>
    <numFmt numFmtId="165" formatCode="0.00000"/>
    <numFmt numFmtId="166" formatCode="0.0000"/>
    <numFmt numFmtId="167" formatCode="0.000000"/>
  </numFmts>
  <fonts count="6" x14ac:knownFonts="1">
    <font>
      <sz val="11"/>
      <name val="Univers"/>
      <family val="2"/>
    </font>
    <font>
      <sz val="8"/>
      <name val="Garamond"/>
      <family val="1"/>
    </font>
    <font>
      <b/>
      <sz val="8"/>
      <name val="Garamond"/>
      <family val="1"/>
    </font>
    <font>
      <sz val="8"/>
      <color rgb="FFFF0000"/>
      <name val="Garamond"/>
      <family val="1"/>
    </font>
    <font>
      <b/>
      <i/>
      <sz val="8"/>
      <name val="Garamond"/>
      <family val="1"/>
    </font>
    <font>
      <sz val="8"/>
      <color indexed="10"/>
      <name val="Garamond"/>
      <family val="1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5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164" fontId="2" fillId="2" borderId="0" xfId="0" applyNumberFormat="1" applyFont="1" applyFill="1"/>
    <xf numFmtId="0" fontId="4" fillId="0" borderId="0" xfId="0" applyFont="1" applyAlignment="1">
      <alignment horizontal="center"/>
    </xf>
    <xf numFmtId="10" fontId="5" fillId="0" borderId="0" xfId="0" applyNumberFormat="1" applyFont="1" applyAlignment="1">
      <alignment horizontal="left"/>
    </xf>
    <xf numFmtId="0" fontId="1" fillId="0" borderId="0" xfId="0" quotePrefix="1" applyFont="1"/>
    <xf numFmtId="165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left"/>
    </xf>
    <xf numFmtId="0" fontId="2" fillId="0" borderId="0" xfId="0" applyFont="1"/>
    <xf numFmtId="164" fontId="2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Alignment="1">
      <alignment horizontal="left"/>
    </xf>
    <xf numFmtId="4" fontId="1" fillId="0" borderId="0" xfId="0" applyNumberFormat="1" applyFont="1"/>
    <xf numFmtId="0" fontId="2" fillId="0" borderId="0" xfId="0" applyFont="1" applyAlignment="1">
      <alignment horizontal="left"/>
    </xf>
    <xf numFmtId="166" fontId="1" fillId="0" borderId="1" xfId="0" applyNumberFormat="1" applyFont="1" applyBorder="1"/>
    <xf numFmtId="167" fontId="1" fillId="0" borderId="2" xfId="0" applyNumberFormat="1" applyFont="1" applyBorder="1"/>
    <xf numFmtId="165" fontId="1" fillId="0" borderId="1" xfId="0" applyNumberFormat="1" applyFont="1" applyBorder="1"/>
    <xf numFmtId="166" fontId="1" fillId="0" borderId="3" xfId="0" applyNumberFormat="1" applyFont="1" applyBorder="1"/>
    <xf numFmtId="0" fontId="1" fillId="0" borderId="1" xfId="0" applyFont="1" applyBorder="1"/>
    <xf numFmtId="167" fontId="1" fillId="0" borderId="0" xfId="0" applyNumberFormat="1" applyFont="1"/>
    <xf numFmtId="165" fontId="1" fillId="0" borderId="0" xfId="0" applyNumberFormat="1" applyFont="1"/>
    <xf numFmtId="2" fontId="1" fillId="0" borderId="1" xfId="0" applyNumberFormat="1" applyFont="1" applyBorder="1"/>
    <xf numFmtId="165" fontId="1" fillId="0" borderId="0" xfId="0" applyNumberFormat="1" applyFont="1" applyAlignment="1">
      <alignment horizontal="center"/>
    </xf>
    <xf numFmtId="164" fontId="1" fillId="0" borderId="0" xfId="0" applyNumberFormat="1" applyFont="1"/>
    <xf numFmtId="2" fontId="1" fillId="0" borderId="0" xfId="0" applyNumberFormat="1" applyFont="1"/>
    <xf numFmtId="167" fontId="1" fillId="0" borderId="4" xfId="0" applyNumberFormat="1" applyFont="1" applyBorder="1"/>
    <xf numFmtId="165" fontId="1" fillId="0" borderId="5" xfId="0" applyNumberFormat="1" applyFont="1" applyBorder="1"/>
    <xf numFmtId="166" fontId="1" fillId="0" borderId="6" xfId="0" applyNumberFormat="1" applyFont="1" applyBorder="1"/>
    <xf numFmtId="0" fontId="1" fillId="0" borderId="5" xfId="0" applyFont="1" applyBorder="1"/>
    <xf numFmtId="166" fontId="1" fillId="0" borderId="2" xfId="0" applyNumberFormat="1" applyFont="1" applyBorder="1"/>
    <xf numFmtId="167" fontId="1" fillId="0" borderId="1" xfId="0" applyNumberFormat="1" applyFont="1" applyBorder="1"/>
    <xf numFmtId="166" fontId="1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8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6008702334261448E-2"/>
          <c:y val="0.13683759042314833"/>
          <c:w val="0.93005169505903018"/>
          <c:h val="0.7816936175660969"/>
        </c:manualLayout>
      </c:layout>
      <c:lineChart>
        <c:grouping val="standard"/>
        <c:varyColors val="0"/>
        <c:ser>
          <c:idx val="0"/>
          <c:order val="0"/>
          <c:tx>
            <c:strRef>
              <c:f>TV7377Var!$AI$6</c:f>
              <c:strCache>
                <c:ptCount val="1"/>
                <c:pt idx="0">
                  <c:v>CoefVar(WholeLifeAnnuityDue)</c:v>
                </c:pt>
              </c:strCache>
            </c:strRef>
          </c:tx>
          <c:marker>
            <c:symbol val="none"/>
          </c:marker>
          <c:cat>
            <c:numRef>
              <c:f>TV7377Var!$U$10:$U$116</c:f>
              <c:numCache>
                <c:formatCode>General</c:formatCode>
                <c:ptCount val="1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</c:numCache>
            </c:numRef>
          </c:cat>
          <c:val>
            <c:numRef>
              <c:f>TV7377Var!$AI$10:$AI$116</c:f>
              <c:numCache>
                <c:formatCode>General</c:formatCode>
                <c:ptCount val="107"/>
                <c:pt idx="0">
                  <c:v>0.15383724333864851</c:v>
                </c:pt>
                <c:pt idx="1">
                  <c:v>0.1137947654094507</c:v>
                </c:pt>
                <c:pt idx="2">
                  <c:v>0.11245874449459807</c:v>
                </c:pt>
                <c:pt idx="3">
                  <c:v>0.11274413743019793</c:v>
                </c:pt>
                <c:pt idx="4">
                  <c:v>0.11364773895778675</c:v>
                </c:pt>
                <c:pt idx="5">
                  <c:v>0.11496622908082738</c:v>
                </c:pt>
                <c:pt idx="6">
                  <c:v>0.11653339025379353</c:v>
                </c:pt>
                <c:pt idx="7">
                  <c:v>0.11831173330245125</c:v>
                </c:pt>
                <c:pt idx="8">
                  <c:v>0.12026348199059292</c:v>
                </c:pt>
                <c:pt idx="9">
                  <c:v>0.12239321086047228</c:v>
                </c:pt>
                <c:pt idx="10">
                  <c:v>0.12470546044706964</c:v>
                </c:pt>
                <c:pt idx="11">
                  <c:v>0.12720477517165785</c:v>
                </c:pt>
                <c:pt idx="12">
                  <c:v>0.12981616761377548</c:v>
                </c:pt>
                <c:pt idx="13">
                  <c:v>0.13258376087325446</c:v>
                </c:pt>
                <c:pt idx="14">
                  <c:v>0.13535986461330785</c:v>
                </c:pt>
                <c:pt idx="15">
                  <c:v>0.13807560516872758</c:v>
                </c:pt>
                <c:pt idx="16">
                  <c:v>0.14062650535494842</c:v>
                </c:pt>
                <c:pt idx="17">
                  <c:v>0.14298121952560586</c:v>
                </c:pt>
                <c:pt idx="18">
                  <c:v>0.14510715205951361</c:v>
                </c:pt>
                <c:pt idx="19">
                  <c:v>0.14714684994638011</c:v>
                </c:pt>
                <c:pt idx="20">
                  <c:v>0.14927788995937338</c:v>
                </c:pt>
                <c:pt idx="21">
                  <c:v>0.1516101795052944</c:v>
                </c:pt>
                <c:pt idx="22">
                  <c:v>0.15411856823225856</c:v>
                </c:pt>
                <c:pt idx="23">
                  <c:v>0.15684508823385071</c:v>
                </c:pt>
                <c:pt idx="24">
                  <c:v>0.15976641588301069</c:v>
                </c:pt>
                <c:pt idx="25">
                  <c:v>0.16279547393840765</c:v>
                </c:pt>
                <c:pt idx="26">
                  <c:v>0.16603670210645977</c:v>
                </c:pt>
                <c:pt idx="27">
                  <c:v>0.16943879217230637</c:v>
                </c:pt>
                <c:pt idx="28">
                  <c:v>0.17301294273797058</c:v>
                </c:pt>
                <c:pt idx="29">
                  <c:v>0.17665149251256643</c:v>
                </c:pt>
                <c:pt idx="30">
                  <c:v>0.18039586598653143</c:v>
                </c:pt>
                <c:pt idx="31">
                  <c:v>0.18431676198585134</c:v>
                </c:pt>
                <c:pt idx="32">
                  <c:v>0.18834396107358331</c:v>
                </c:pt>
                <c:pt idx="33">
                  <c:v>0.19249241120017951</c:v>
                </c:pt>
                <c:pt idx="34">
                  <c:v>0.19675096456116542</c:v>
                </c:pt>
                <c:pt idx="35">
                  <c:v>0.20110989535989821</c:v>
                </c:pt>
                <c:pt idx="36">
                  <c:v>0.20556089891540669</c:v>
                </c:pt>
                <c:pt idx="37">
                  <c:v>0.21014842237832115</c:v>
                </c:pt>
                <c:pt idx="38">
                  <c:v>0.21479232981399954</c:v>
                </c:pt>
                <c:pt idx="39">
                  <c:v>0.21956257101187004</c:v>
                </c:pt>
                <c:pt idx="40">
                  <c:v>0.22440925227138972</c:v>
                </c:pt>
                <c:pt idx="41">
                  <c:v>0.22930797767209424</c:v>
                </c:pt>
                <c:pt idx="42">
                  <c:v>0.23430606922897454</c:v>
                </c:pt>
                <c:pt idx="43">
                  <c:v>0.23938380307976448</c:v>
                </c:pt>
                <c:pt idx="44">
                  <c:v>0.24447788881636601</c:v>
                </c:pt>
                <c:pt idx="45">
                  <c:v>0.24961496233046665</c:v>
                </c:pt>
                <c:pt idx="46">
                  <c:v>0.25484559623820796</c:v>
                </c:pt>
                <c:pt idx="47">
                  <c:v>0.26011535560209953</c:v>
                </c:pt>
                <c:pt idx="48">
                  <c:v>0.26543446785170688</c:v>
                </c:pt>
                <c:pt idx="49">
                  <c:v>0.27079441598930937</c:v>
                </c:pt>
                <c:pt idx="50">
                  <c:v>0.27629205510998128</c:v>
                </c:pt>
                <c:pt idx="51">
                  <c:v>0.2819689984667903</c:v>
                </c:pt>
                <c:pt idx="52">
                  <c:v>0.28779134250636601</c:v>
                </c:pt>
                <c:pt idx="53">
                  <c:v>0.29368782923414105</c:v>
                </c:pt>
                <c:pt idx="54">
                  <c:v>0.29968575514089157</c:v>
                </c:pt>
                <c:pt idx="55">
                  <c:v>0.30583664187924664</c:v>
                </c:pt>
                <c:pt idx="56">
                  <c:v>0.31223738007345064</c:v>
                </c:pt>
                <c:pt idx="57">
                  <c:v>0.31895781449282457</c:v>
                </c:pt>
                <c:pt idx="58">
                  <c:v>0.32602247209045765</c:v>
                </c:pt>
                <c:pt idx="59">
                  <c:v>0.33348392013118572</c:v>
                </c:pt>
                <c:pt idx="60">
                  <c:v>0.34140732942941482</c:v>
                </c:pt>
                <c:pt idx="61">
                  <c:v>0.3498549713647689</c:v>
                </c:pt>
                <c:pt idx="62">
                  <c:v>0.35872683374983338</c:v>
                </c:pt>
                <c:pt idx="63">
                  <c:v>0.36789249404097557</c:v>
                </c:pt>
                <c:pt idx="64">
                  <c:v>0.3774153467598228</c:v>
                </c:pt>
                <c:pt idx="65">
                  <c:v>0.38737657729475461</c:v>
                </c:pt>
                <c:pt idx="66">
                  <c:v>0.39777556864366226</c:v>
                </c:pt>
                <c:pt idx="67">
                  <c:v>0.40859181324826599</c:v>
                </c:pt>
                <c:pt idx="68">
                  <c:v>0.41985078071576798</c:v>
                </c:pt>
                <c:pt idx="69">
                  <c:v>0.43152686182191524</c:v>
                </c:pt>
                <c:pt idx="70">
                  <c:v>0.4435170924844633</c:v>
                </c:pt>
                <c:pt idx="71">
                  <c:v>0.45581127136076038</c:v>
                </c:pt>
                <c:pt idx="72">
                  <c:v>0.46843429204893583</c:v>
                </c:pt>
                <c:pt idx="73">
                  <c:v>0.48143195277110717</c:v>
                </c:pt>
                <c:pt idx="74">
                  <c:v>0.49483619720072136</c:v>
                </c:pt>
                <c:pt idx="75">
                  <c:v>0.50852800138861953</c:v>
                </c:pt>
                <c:pt idx="76">
                  <c:v>0.52222788000208165</c:v>
                </c:pt>
                <c:pt idx="77">
                  <c:v>0.53582463393114232</c:v>
                </c:pt>
                <c:pt idx="78">
                  <c:v>0.54925754647768288</c:v>
                </c:pt>
                <c:pt idx="79">
                  <c:v>0.56241500054023552</c:v>
                </c:pt>
                <c:pt idx="80">
                  <c:v>0.5753467985803572</c:v>
                </c:pt>
                <c:pt idx="81">
                  <c:v>0.58814373476781501</c:v>
                </c:pt>
                <c:pt idx="82">
                  <c:v>0.60063558108389026</c:v>
                </c:pt>
                <c:pt idx="83">
                  <c:v>0.61241235874496991</c:v>
                </c:pt>
                <c:pt idx="84">
                  <c:v>0.62311818611878012</c:v>
                </c:pt>
                <c:pt idx="85">
                  <c:v>0.63311241589097567</c:v>
                </c:pt>
                <c:pt idx="86">
                  <c:v>0.64274277825895765</c:v>
                </c:pt>
                <c:pt idx="87">
                  <c:v>0.65154015996096992</c:v>
                </c:pt>
                <c:pt idx="88">
                  <c:v>0.65882970399697305</c:v>
                </c:pt>
                <c:pt idx="89">
                  <c:v>0.66368112611071806</c:v>
                </c:pt>
                <c:pt idx="90">
                  <c:v>0.6642863964092387</c:v>
                </c:pt>
                <c:pt idx="91">
                  <c:v>0.65975891603002124</c:v>
                </c:pt>
                <c:pt idx="92">
                  <c:v>0.65073618071832362</c:v>
                </c:pt>
                <c:pt idx="93">
                  <c:v>0.63811876653710742</c:v>
                </c:pt>
                <c:pt idx="94">
                  <c:v>0.62170160474782754</c:v>
                </c:pt>
                <c:pt idx="95">
                  <c:v>0.60092565757810856</c:v>
                </c:pt>
                <c:pt idx="96">
                  <c:v>0.57566353108061197</c:v>
                </c:pt>
                <c:pt idx="97">
                  <c:v>0.54995080549690412</c:v>
                </c:pt>
                <c:pt idx="98">
                  <c:v>0.53732695196109681</c:v>
                </c:pt>
                <c:pt idx="99">
                  <c:v>0.59230769612038103</c:v>
                </c:pt>
                <c:pt idx="100">
                  <c:v>0.5760897953928692</c:v>
                </c:pt>
                <c:pt idx="101">
                  <c:v>0.5573726229851228</c:v>
                </c:pt>
                <c:pt idx="102">
                  <c:v>0.53590028995375916</c:v>
                </c:pt>
                <c:pt idx="103">
                  <c:v>0.50682055760228184</c:v>
                </c:pt>
                <c:pt idx="104">
                  <c:v>0.44324001838944793</c:v>
                </c:pt>
                <c:pt idx="105">
                  <c:v>0.34095488337966123</c:v>
                </c:pt>
                <c:pt idx="106">
                  <c:v>1.074744637027797E-6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84-49C2-851E-E6E345CB45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30358720"/>
        <c:axId val="1"/>
      </c:lineChart>
      <c:catAx>
        <c:axId val="6303587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63035872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25127773801002151"/>
          <c:y val="0.21609736282964631"/>
          <c:w val="0.17632038892865665"/>
          <c:h val="5.0716785401824782E-2"/>
        </c:manualLayout>
      </c:layout>
      <c:overlay val="0"/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35</xdr:col>
      <xdr:colOff>101600</xdr:colOff>
      <xdr:row>2</xdr:row>
      <xdr:rowOff>29633</xdr:rowOff>
    </xdr:from>
    <xdr:to>
      <xdr:col>45</xdr:col>
      <xdr:colOff>33867</xdr:colOff>
      <xdr:row>11</xdr:row>
      <xdr:rowOff>21167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8D0D49C-206C-4EF4-9C4B-B295EE309F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edroCR/Dropbox%20(MagentaKoncept)/PedroCR/Actua/Mortalidade/Resultado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ssivos"/>
      <sheetName val="Gra RA ASSOC (2)"/>
      <sheetName val="Gra Pensoes ASSOC (2)"/>
      <sheetName val="Gra CN ASSOC  (2)"/>
      <sheetName val="Graf salarios"/>
      <sheetName val="media salarial"/>
      <sheetName val="Totais BestEstimate"/>
      <sheetName val="ALM-ResponsabilidadesIndividuai"/>
      <sheetName val="Graf piramide etária"/>
      <sheetName val="piramide etária"/>
      <sheetName val="estatisticas"/>
      <sheetName val="Resultados por benef"/>
      <sheetName val="Gra RA ASSOC"/>
      <sheetName val="Gra Pensoes ASSOC"/>
      <sheetName val="Gra VABT ASSOC"/>
      <sheetName val="Gra CN ASSOC "/>
      <sheetName val="Gra Var TVar ASSOC"/>
      <sheetName val="IAS"/>
      <sheetName val="BEST ESTIMATE"/>
      <sheetName val="Cenários"/>
      <sheetName val="Graf Gest Pop"/>
      <sheetName val="Gest pop"/>
      <sheetName val="ANGV_Male"/>
      <sheetName val="simbolos comutação"/>
      <sheetName val="Tab liquida"/>
      <sheetName val="duração"/>
      <sheetName val="Sensibilidade Taxas"/>
      <sheetName val="quadros sensib taxa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>
        <row r="1">
          <cell r="G1">
            <v>0.13</v>
          </cell>
        </row>
        <row r="2">
          <cell r="B2">
            <v>0.86956521739130443</v>
          </cell>
        </row>
      </sheetData>
      <sheetData sheetId="24" refreshError="1"/>
      <sheetData sheetId="25" refreshError="1"/>
      <sheetData sheetId="26" refreshError="1"/>
      <sheetData sheetId="27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48D28D-454D-48B3-ADAC-4D5DB4E98586}">
  <dimension ref="A1:AI150"/>
  <sheetViews>
    <sheetView showGridLines="0" tabSelected="1" topLeftCell="J1" zoomScale="140" zoomScaleNormal="140" workbookViewId="0">
      <pane ySplit="6" topLeftCell="A48" activePane="bottomLeft" state="frozen"/>
      <selection activeCell="J10" sqref="J10"/>
      <selection pane="bottomLeft" activeCell="R55" sqref="R55"/>
    </sheetView>
  </sheetViews>
  <sheetFormatPr defaultRowHeight="14" x14ac:dyDescent="0.45"/>
  <cols>
    <col min="31" max="31" width="13.5" bestFit="1" customWidth="1"/>
    <col min="32" max="32" width="15.88671875" bestFit="1" customWidth="1"/>
    <col min="33" max="33" width="17.109375" bestFit="1" customWidth="1"/>
    <col min="34" max="34" width="19.38671875" bestFit="1" customWidth="1"/>
    <col min="35" max="35" width="19.71875" bestFit="1" customWidth="1"/>
    <col min="287" max="287" width="13.5" bestFit="1" customWidth="1"/>
    <col min="288" max="288" width="15.88671875" bestFit="1" customWidth="1"/>
    <col min="289" max="289" width="17.109375" bestFit="1" customWidth="1"/>
    <col min="290" max="290" width="19.38671875" bestFit="1" customWidth="1"/>
    <col min="291" max="291" width="19.71875" bestFit="1" customWidth="1"/>
    <col min="543" max="543" width="13.5" bestFit="1" customWidth="1"/>
    <col min="544" max="544" width="15.88671875" bestFit="1" customWidth="1"/>
    <col min="545" max="545" width="17.109375" bestFit="1" customWidth="1"/>
    <col min="546" max="546" width="19.38671875" bestFit="1" customWidth="1"/>
    <col min="547" max="547" width="19.71875" bestFit="1" customWidth="1"/>
    <col min="799" max="799" width="13.5" bestFit="1" customWidth="1"/>
    <col min="800" max="800" width="15.88671875" bestFit="1" customWidth="1"/>
    <col min="801" max="801" width="17.109375" bestFit="1" customWidth="1"/>
    <col min="802" max="802" width="19.38671875" bestFit="1" customWidth="1"/>
    <col min="803" max="803" width="19.71875" bestFit="1" customWidth="1"/>
    <col min="1055" max="1055" width="13.5" bestFit="1" customWidth="1"/>
    <col min="1056" max="1056" width="15.88671875" bestFit="1" customWidth="1"/>
    <col min="1057" max="1057" width="17.109375" bestFit="1" customWidth="1"/>
    <col min="1058" max="1058" width="19.38671875" bestFit="1" customWidth="1"/>
    <col min="1059" max="1059" width="19.71875" bestFit="1" customWidth="1"/>
    <col min="1311" max="1311" width="13.5" bestFit="1" customWidth="1"/>
    <col min="1312" max="1312" width="15.88671875" bestFit="1" customWidth="1"/>
    <col min="1313" max="1313" width="17.109375" bestFit="1" customWidth="1"/>
    <col min="1314" max="1314" width="19.38671875" bestFit="1" customWidth="1"/>
    <col min="1315" max="1315" width="19.71875" bestFit="1" customWidth="1"/>
    <col min="1567" max="1567" width="13.5" bestFit="1" customWidth="1"/>
    <col min="1568" max="1568" width="15.88671875" bestFit="1" customWidth="1"/>
    <col min="1569" max="1569" width="17.109375" bestFit="1" customWidth="1"/>
    <col min="1570" max="1570" width="19.38671875" bestFit="1" customWidth="1"/>
    <col min="1571" max="1571" width="19.71875" bestFit="1" customWidth="1"/>
    <col min="1823" max="1823" width="13.5" bestFit="1" customWidth="1"/>
    <col min="1824" max="1824" width="15.88671875" bestFit="1" customWidth="1"/>
    <col min="1825" max="1825" width="17.109375" bestFit="1" customWidth="1"/>
    <col min="1826" max="1826" width="19.38671875" bestFit="1" customWidth="1"/>
    <col min="1827" max="1827" width="19.71875" bestFit="1" customWidth="1"/>
    <col min="2079" max="2079" width="13.5" bestFit="1" customWidth="1"/>
    <col min="2080" max="2080" width="15.88671875" bestFit="1" customWidth="1"/>
    <col min="2081" max="2081" width="17.109375" bestFit="1" customWidth="1"/>
    <col min="2082" max="2082" width="19.38671875" bestFit="1" customWidth="1"/>
    <col min="2083" max="2083" width="19.71875" bestFit="1" customWidth="1"/>
    <col min="2335" max="2335" width="13.5" bestFit="1" customWidth="1"/>
    <col min="2336" max="2336" width="15.88671875" bestFit="1" customWidth="1"/>
    <col min="2337" max="2337" width="17.109375" bestFit="1" customWidth="1"/>
    <col min="2338" max="2338" width="19.38671875" bestFit="1" customWidth="1"/>
    <col min="2339" max="2339" width="19.71875" bestFit="1" customWidth="1"/>
    <col min="2591" max="2591" width="13.5" bestFit="1" customWidth="1"/>
    <col min="2592" max="2592" width="15.88671875" bestFit="1" customWidth="1"/>
    <col min="2593" max="2593" width="17.109375" bestFit="1" customWidth="1"/>
    <col min="2594" max="2594" width="19.38671875" bestFit="1" customWidth="1"/>
    <col min="2595" max="2595" width="19.71875" bestFit="1" customWidth="1"/>
    <col min="2847" max="2847" width="13.5" bestFit="1" customWidth="1"/>
    <col min="2848" max="2848" width="15.88671875" bestFit="1" customWidth="1"/>
    <col min="2849" max="2849" width="17.109375" bestFit="1" customWidth="1"/>
    <col min="2850" max="2850" width="19.38671875" bestFit="1" customWidth="1"/>
    <col min="2851" max="2851" width="19.71875" bestFit="1" customWidth="1"/>
    <col min="3103" max="3103" width="13.5" bestFit="1" customWidth="1"/>
    <col min="3104" max="3104" width="15.88671875" bestFit="1" customWidth="1"/>
    <col min="3105" max="3105" width="17.109375" bestFit="1" customWidth="1"/>
    <col min="3106" max="3106" width="19.38671875" bestFit="1" customWidth="1"/>
    <col min="3107" max="3107" width="19.71875" bestFit="1" customWidth="1"/>
    <col min="3359" max="3359" width="13.5" bestFit="1" customWidth="1"/>
    <col min="3360" max="3360" width="15.88671875" bestFit="1" customWidth="1"/>
    <col min="3361" max="3361" width="17.109375" bestFit="1" customWidth="1"/>
    <col min="3362" max="3362" width="19.38671875" bestFit="1" customWidth="1"/>
    <col min="3363" max="3363" width="19.71875" bestFit="1" customWidth="1"/>
    <col min="3615" max="3615" width="13.5" bestFit="1" customWidth="1"/>
    <col min="3616" max="3616" width="15.88671875" bestFit="1" customWidth="1"/>
    <col min="3617" max="3617" width="17.109375" bestFit="1" customWidth="1"/>
    <col min="3618" max="3618" width="19.38671875" bestFit="1" customWidth="1"/>
    <col min="3619" max="3619" width="19.71875" bestFit="1" customWidth="1"/>
    <col min="3871" max="3871" width="13.5" bestFit="1" customWidth="1"/>
    <col min="3872" max="3872" width="15.88671875" bestFit="1" customWidth="1"/>
    <col min="3873" max="3873" width="17.109375" bestFit="1" customWidth="1"/>
    <col min="3874" max="3874" width="19.38671875" bestFit="1" customWidth="1"/>
    <col min="3875" max="3875" width="19.71875" bestFit="1" customWidth="1"/>
    <col min="4127" max="4127" width="13.5" bestFit="1" customWidth="1"/>
    <col min="4128" max="4128" width="15.88671875" bestFit="1" customWidth="1"/>
    <col min="4129" max="4129" width="17.109375" bestFit="1" customWidth="1"/>
    <col min="4130" max="4130" width="19.38671875" bestFit="1" customWidth="1"/>
    <col min="4131" max="4131" width="19.71875" bestFit="1" customWidth="1"/>
    <col min="4383" max="4383" width="13.5" bestFit="1" customWidth="1"/>
    <col min="4384" max="4384" width="15.88671875" bestFit="1" customWidth="1"/>
    <col min="4385" max="4385" width="17.109375" bestFit="1" customWidth="1"/>
    <col min="4386" max="4386" width="19.38671875" bestFit="1" customWidth="1"/>
    <col min="4387" max="4387" width="19.71875" bestFit="1" customWidth="1"/>
    <col min="4639" max="4639" width="13.5" bestFit="1" customWidth="1"/>
    <col min="4640" max="4640" width="15.88671875" bestFit="1" customWidth="1"/>
    <col min="4641" max="4641" width="17.109375" bestFit="1" customWidth="1"/>
    <col min="4642" max="4642" width="19.38671875" bestFit="1" customWidth="1"/>
    <col min="4643" max="4643" width="19.71875" bestFit="1" customWidth="1"/>
    <col min="4895" max="4895" width="13.5" bestFit="1" customWidth="1"/>
    <col min="4896" max="4896" width="15.88671875" bestFit="1" customWidth="1"/>
    <col min="4897" max="4897" width="17.109375" bestFit="1" customWidth="1"/>
    <col min="4898" max="4898" width="19.38671875" bestFit="1" customWidth="1"/>
    <col min="4899" max="4899" width="19.71875" bestFit="1" customWidth="1"/>
    <col min="5151" max="5151" width="13.5" bestFit="1" customWidth="1"/>
    <col min="5152" max="5152" width="15.88671875" bestFit="1" customWidth="1"/>
    <col min="5153" max="5153" width="17.109375" bestFit="1" customWidth="1"/>
    <col min="5154" max="5154" width="19.38671875" bestFit="1" customWidth="1"/>
    <col min="5155" max="5155" width="19.71875" bestFit="1" customWidth="1"/>
    <col min="5407" max="5407" width="13.5" bestFit="1" customWidth="1"/>
    <col min="5408" max="5408" width="15.88671875" bestFit="1" customWidth="1"/>
    <col min="5409" max="5409" width="17.109375" bestFit="1" customWidth="1"/>
    <col min="5410" max="5410" width="19.38671875" bestFit="1" customWidth="1"/>
    <col min="5411" max="5411" width="19.71875" bestFit="1" customWidth="1"/>
    <col min="5663" max="5663" width="13.5" bestFit="1" customWidth="1"/>
    <col min="5664" max="5664" width="15.88671875" bestFit="1" customWidth="1"/>
    <col min="5665" max="5665" width="17.109375" bestFit="1" customWidth="1"/>
    <col min="5666" max="5666" width="19.38671875" bestFit="1" customWidth="1"/>
    <col min="5667" max="5667" width="19.71875" bestFit="1" customWidth="1"/>
    <col min="5919" max="5919" width="13.5" bestFit="1" customWidth="1"/>
    <col min="5920" max="5920" width="15.88671875" bestFit="1" customWidth="1"/>
    <col min="5921" max="5921" width="17.109375" bestFit="1" customWidth="1"/>
    <col min="5922" max="5922" width="19.38671875" bestFit="1" customWidth="1"/>
    <col min="5923" max="5923" width="19.71875" bestFit="1" customWidth="1"/>
    <col min="6175" max="6175" width="13.5" bestFit="1" customWidth="1"/>
    <col min="6176" max="6176" width="15.88671875" bestFit="1" customWidth="1"/>
    <col min="6177" max="6177" width="17.109375" bestFit="1" customWidth="1"/>
    <col min="6178" max="6178" width="19.38671875" bestFit="1" customWidth="1"/>
    <col min="6179" max="6179" width="19.71875" bestFit="1" customWidth="1"/>
    <col min="6431" max="6431" width="13.5" bestFit="1" customWidth="1"/>
    <col min="6432" max="6432" width="15.88671875" bestFit="1" customWidth="1"/>
    <col min="6433" max="6433" width="17.109375" bestFit="1" customWidth="1"/>
    <col min="6434" max="6434" width="19.38671875" bestFit="1" customWidth="1"/>
    <col min="6435" max="6435" width="19.71875" bestFit="1" customWidth="1"/>
    <col min="6687" max="6687" width="13.5" bestFit="1" customWidth="1"/>
    <col min="6688" max="6688" width="15.88671875" bestFit="1" customWidth="1"/>
    <col min="6689" max="6689" width="17.109375" bestFit="1" customWidth="1"/>
    <col min="6690" max="6690" width="19.38671875" bestFit="1" customWidth="1"/>
    <col min="6691" max="6691" width="19.71875" bestFit="1" customWidth="1"/>
    <col min="6943" max="6943" width="13.5" bestFit="1" customWidth="1"/>
    <col min="6944" max="6944" width="15.88671875" bestFit="1" customWidth="1"/>
    <col min="6945" max="6945" width="17.109375" bestFit="1" customWidth="1"/>
    <col min="6946" max="6946" width="19.38671875" bestFit="1" customWidth="1"/>
    <col min="6947" max="6947" width="19.71875" bestFit="1" customWidth="1"/>
    <col min="7199" max="7199" width="13.5" bestFit="1" customWidth="1"/>
    <col min="7200" max="7200" width="15.88671875" bestFit="1" customWidth="1"/>
    <col min="7201" max="7201" width="17.109375" bestFit="1" customWidth="1"/>
    <col min="7202" max="7202" width="19.38671875" bestFit="1" customWidth="1"/>
    <col min="7203" max="7203" width="19.71875" bestFit="1" customWidth="1"/>
    <col min="7455" max="7455" width="13.5" bestFit="1" customWidth="1"/>
    <col min="7456" max="7456" width="15.88671875" bestFit="1" customWidth="1"/>
    <col min="7457" max="7457" width="17.109375" bestFit="1" customWidth="1"/>
    <col min="7458" max="7458" width="19.38671875" bestFit="1" customWidth="1"/>
    <col min="7459" max="7459" width="19.71875" bestFit="1" customWidth="1"/>
    <col min="7711" max="7711" width="13.5" bestFit="1" customWidth="1"/>
    <col min="7712" max="7712" width="15.88671875" bestFit="1" customWidth="1"/>
    <col min="7713" max="7713" width="17.109375" bestFit="1" customWidth="1"/>
    <col min="7714" max="7714" width="19.38671875" bestFit="1" customWidth="1"/>
    <col min="7715" max="7715" width="19.71875" bestFit="1" customWidth="1"/>
    <col min="7967" max="7967" width="13.5" bestFit="1" customWidth="1"/>
    <col min="7968" max="7968" width="15.88671875" bestFit="1" customWidth="1"/>
    <col min="7969" max="7969" width="17.109375" bestFit="1" customWidth="1"/>
    <col min="7970" max="7970" width="19.38671875" bestFit="1" customWidth="1"/>
    <col min="7971" max="7971" width="19.71875" bestFit="1" customWidth="1"/>
    <col min="8223" max="8223" width="13.5" bestFit="1" customWidth="1"/>
    <col min="8224" max="8224" width="15.88671875" bestFit="1" customWidth="1"/>
    <col min="8225" max="8225" width="17.109375" bestFit="1" customWidth="1"/>
    <col min="8226" max="8226" width="19.38671875" bestFit="1" customWidth="1"/>
    <col min="8227" max="8227" width="19.71875" bestFit="1" customWidth="1"/>
    <col min="8479" max="8479" width="13.5" bestFit="1" customWidth="1"/>
    <col min="8480" max="8480" width="15.88671875" bestFit="1" customWidth="1"/>
    <col min="8481" max="8481" width="17.109375" bestFit="1" customWidth="1"/>
    <col min="8482" max="8482" width="19.38671875" bestFit="1" customWidth="1"/>
    <col min="8483" max="8483" width="19.71875" bestFit="1" customWidth="1"/>
    <col min="8735" max="8735" width="13.5" bestFit="1" customWidth="1"/>
    <col min="8736" max="8736" width="15.88671875" bestFit="1" customWidth="1"/>
    <col min="8737" max="8737" width="17.109375" bestFit="1" customWidth="1"/>
    <col min="8738" max="8738" width="19.38671875" bestFit="1" customWidth="1"/>
    <col min="8739" max="8739" width="19.71875" bestFit="1" customWidth="1"/>
    <col min="8991" max="8991" width="13.5" bestFit="1" customWidth="1"/>
    <col min="8992" max="8992" width="15.88671875" bestFit="1" customWidth="1"/>
    <col min="8993" max="8993" width="17.109375" bestFit="1" customWidth="1"/>
    <col min="8994" max="8994" width="19.38671875" bestFit="1" customWidth="1"/>
    <col min="8995" max="8995" width="19.71875" bestFit="1" customWidth="1"/>
    <col min="9247" max="9247" width="13.5" bestFit="1" customWidth="1"/>
    <col min="9248" max="9248" width="15.88671875" bestFit="1" customWidth="1"/>
    <col min="9249" max="9249" width="17.109375" bestFit="1" customWidth="1"/>
    <col min="9250" max="9250" width="19.38671875" bestFit="1" customWidth="1"/>
    <col min="9251" max="9251" width="19.71875" bestFit="1" customWidth="1"/>
    <col min="9503" max="9503" width="13.5" bestFit="1" customWidth="1"/>
    <col min="9504" max="9504" width="15.88671875" bestFit="1" customWidth="1"/>
    <col min="9505" max="9505" width="17.109375" bestFit="1" customWidth="1"/>
    <col min="9506" max="9506" width="19.38671875" bestFit="1" customWidth="1"/>
    <col min="9507" max="9507" width="19.71875" bestFit="1" customWidth="1"/>
    <col min="9759" max="9759" width="13.5" bestFit="1" customWidth="1"/>
    <col min="9760" max="9760" width="15.88671875" bestFit="1" customWidth="1"/>
    <col min="9761" max="9761" width="17.109375" bestFit="1" customWidth="1"/>
    <col min="9762" max="9762" width="19.38671875" bestFit="1" customWidth="1"/>
    <col min="9763" max="9763" width="19.71875" bestFit="1" customWidth="1"/>
    <col min="10015" max="10015" width="13.5" bestFit="1" customWidth="1"/>
    <col min="10016" max="10016" width="15.88671875" bestFit="1" customWidth="1"/>
    <col min="10017" max="10017" width="17.109375" bestFit="1" customWidth="1"/>
    <col min="10018" max="10018" width="19.38671875" bestFit="1" customWidth="1"/>
    <col min="10019" max="10019" width="19.71875" bestFit="1" customWidth="1"/>
    <col min="10271" max="10271" width="13.5" bestFit="1" customWidth="1"/>
    <col min="10272" max="10272" width="15.88671875" bestFit="1" customWidth="1"/>
    <col min="10273" max="10273" width="17.109375" bestFit="1" customWidth="1"/>
    <col min="10274" max="10274" width="19.38671875" bestFit="1" customWidth="1"/>
    <col min="10275" max="10275" width="19.71875" bestFit="1" customWidth="1"/>
    <col min="10527" max="10527" width="13.5" bestFit="1" customWidth="1"/>
    <col min="10528" max="10528" width="15.88671875" bestFit="1" customWidth="1"/>
    <col min="10529" max="10529" width="17.109375" bestFit="1" customWidth="1"/>
    <col min="10530" max="10530" width="19.38671875" bestFit="1" customWidth="1"/>
    <col min="10531" max="10531" width="19.71875" bestFit="1" customWidth="1"/>
    <col min="10783" max="10783" width="13.5" bestFit="1" customWidth="1"/>
    <col min="10784" max="10784" width="15.88671875" bestFit="1" customWidth="1"/>
    <col min="10785" max="10785" width="17.109375" bestFit="1" customWidth="1"/>
    <col min="10786" max="10786" width="19.38671875" bestFit="1" customWidth="1"/>
    <col min="10787" max="10787" width="19.71875" bestFit="1" customWidth="1"/>
    <col min="11039" max="11039" width="13.5" bestFit="1" customWidth="1"/>
    <col min="11040" max="11040" width="15.88671875" bestFit="1" customWidth="1"/>
    <col min="11041" max="11041" width="17.109375" bestFit="1" customWidth="1"/>
    <col min="11042" max="11042" width="19.38671875" bestFit="1" customWidth="1"/>
    <col min="11043" max="11043" width="19.71875" bestFit="1" customWidth="1"/>
    <col min="11295" max="11295" width="13.5" bestFit="1" customWidth="1"/>
    <col min="11296" max="11296" width="15.88671875" bestFit="1" customWidth="1"/>
    <col min="11297" max="11297" width="17.109375" bestFit="1" customWidth="1"/>
    <col min="11298" max="11298" width="19.38671875" bestFit="1" customWidth="1"/>
    <col min="11299" max="11299" width="19.71875" bestFit="1" customWidth="1"/>
    <col min="11551" max="11551" width="13.5" bestFit="1" customWidth="1"/>
    <col min="11552" max="11552" width="15.88671875" bestFit="1" customWidth="1"/>
    <col min="11553" max="11553" width="17.109375" bestFit="1" customWidth="1"/>
    <col min="11554" max="11554" width="19.38671875" bestFit="1" customWidth="1"/>
    <col min="11555" max="11555" width="19.71875" bestFit="1" customWidth="1"/>
    <col min="11807" max="11807" width="13.5" bestFit="1" customWidth="1"/>
    <col min="11808" max="11808" width="15.88671875" bestFit="1" customWidth="1"/>
    <col min="11809" max="11809" width="17.109375" bestFit="1" customWidth="1"/>
    <col min="11810" max="11810" width="19.38671875" bestFit="1" customWidth="1"/>
    <col min="11811" max="11811" width="19.71875" bestFit="1" customWidth="1"/>
    <col min="12063" max="12063" width="13.5" bestFit="1" customWidth="1"/>
    <col min="12064" max="12064" width="15.88671875" bestFit="1" customWidth="1"/>
    <col min="12065" max="12065" width="17.109375" bestFit="1" customWidth="1"/>
    <col min="12066" max="12066" width="19.38671875" bestFit="1" customWidth="1"/>
    <col min="12067" max="12067" width="19.71875" bestFit="1" customWidth="1"/>
    <col min="12319" max="12319" width="13.5" bestFit="1" customWidth="1"/>
    <col min="12320" max="12320" width="15.88671875" bestFit="1" customWidth="1"/>
    <col min="12321" max="12321" width="17.109375" bestFit="1" customWidth="1"/>
    <col min="12322" max="12322" width="19.38671875" bestFit="1" customWidth="1"/>
    <col min="12323" max="12323" width="19.71875" bestFit="1" customWidth="1"/>
    <col min="12575" max="12575" width="13.5" bestFit="1" customWidth="1"/>
    <col min="12576" max="12576" width="15.88671875" bestFit="1" customWidth="1"/>
    <col min="12577" max="12577" width="17.109375" bestFit="1" customWidth="1"/>
    <col min="12578" max="12578" width="19.38671875" bestFit="1" customWidth="1"/>
    <col min="12579" max="12579" width="19.71875" bestFit="1" customWidth="1"/>
    <col min="12831" max="12831" width="13.5" bestFit="1" customWidth="1"/>
    <col min="12832" max="12832" width="15.88671875" bestFit="1" customWidth="1"/>
    <col min="12833" max="12833" width="17.109375" bestFit="1" customWidth="1"/>
    <col min="12834" max="12834" width="19.38671875" bestFit="1" customWidth="1"/>
    <col min="12835" max="12835" width="19.71875" bestFit="1" customWidth="1"/>
    <col min="13087" max="13087" width="13.5" bestFit="1" customWidth="1"/>
    <col min="13088" max="13088" width="15.88671875" bestFit="1" customWidth="1"/>
    <col min="13089" max="13089" width="17.109375" bestFit="1" customWidth="1"/>
    <col min="13090" max="13090" width="19.38671875" bestFit="1" customWidth="1"/>
    <col min="13091" max="13091" width="19.71875" bestFit="1" customWidth="1"/>
    <col min="13343" max="13343" width="13.5" bestFit="1" customWidth="1"/>
    <col min="13344" max="13344" width="15.88671875" bestFit="1" customWidth="1"/>
    <col min="13345" max="13345" width="17.109375" bestFit="1" customWidth="1"/>
    <col min="13346" max="13346" width="19.38671875" bestFit="1" customWidth="1"/>
    <col min="13347" max="13347" width="19.71875" bestFit="1" customWidth="1"/>
    <col min="13599" max="13599" width="13.5" bestFit="1" customWidth="1"/>
    <col min="13600" max="13600" width="15.88671875" bestFit="1" customWidth="1"/>
    <col min="13601" max="13601" width="17.109375" bestFit="1" customWidth="1"/>
    <col min="13602" max="13602" width="19.38671875" bestFit="1" customWidth="1"/>
    <col min="13603" max="13603" width="19.71875" bestFit="1" customWidth="1"/>
    <col min="13855" max="13855" width="13.5" bestFit="1" customWidth="1"/>
    <col min="13856" max="13856" width="15.88671875" bestFit="1" customWidth="1"/>
    <col min="13857" max="13857" width="17.109375" bestFit="1" customWidth="1"/>
    <col min="13858" max="13858" width="19.38671875" bestFit="1" customWidth="1"/>
    <col min="13859" max="13859" width="19.71875" bestFit="1" customWidth="1"/>
    <col min="14111" max="14111" width="13.5" bestFit="1" customWidth="1"/>
    <col min="14112" max="14112" width="15.88671875" bestFit="1" customWidth="1"/>
    <col min="14113" max="14113" width="17.109375" bestFit="1" customWidth="1"/>
    <col min="14114" max="14114" width="19.38671875" bestFit="1" customWidth="1"/>
    <col min="14115" max="14115" width="19.71875" bestFit="1" customWidth="1"/>
    <col min="14367" max="14367" width="13.5" bestFit="1" customWidth="1"/>
    <col min="14368" max="14368" width="15.88671875" bestFit="1" customWidth="1"/>
    <col min="14369" max="14369" width="17.109375" bestFit="1" customWidth="1"/>
    <col min="14370" max="14370" width="19.38671875" bestFit="1" customWidth="1"/>
    <col min="14371" max="14371" width="19.71875" bestFit="1" customWidth="1"/>
    <col min="14623" max="14623" width="13.5" bestFit="1" customWidth="1"/>
    <col min="14624" max="14624" width="15.88671875" bestFit="1" customWidth="1"/>
    <col min="14625" max="14625" width="17.109375" bestFit="1" customWidth="1"/>
    <col min="14626" max="14626" width="19.38671875" bestFit="1" customWidth="1"/>
    <col min="14627" max="14627" width="19.71875" bestFit="1" customWidth="1"/>
    <col min="14879" max="14879" width="13.5" bestFit="1" customWidth="1"/>
    <col min="14880" max="14880" width="15.88671875" bestFit="1" customWidth="1"/>
    <col min="14881" max="14881" width="17.109375" bestFit="1" customWidth="1"/>
    <col min="14882" max="14882" width="19.38671875" bestFit="1" customWidth="1"/>
    <col min="14883" max="14883" width="19.71875" bestFit="1" customWidth="1"/>
    <col min="15135" max="15135" width="13.5" bestFit="1" customWidth="1"/>
    <col min="15136" max="15136" width="15.88671875" bestFit="1" customWidth="1"/>
    <col min="15137" max="15137" width="17.109375" bestFit="1" customWidth="1"/>
    <col min="15138" max="15138" width="19.38671875" bestFit="1" customWidth="1"/>
    <col min="15139" max="15139" width="19.71875" bestFit="1" customWidth="1"/>
    <col min="15391" max="15391" width="13.5" bestFit="1" customWidth="1"/>
    <col min="15392" max="15392" width="15.88671875" bestFit="1" customWidth="1"/>
    <col min="15393" max="15393" width="17.109375" bestFit="1" customWidth="1"/>
    <col min="15394" max="15394" width="19.38671875" bestFit="1" customWidth="1"/>
    <col min="15395" max="15395" width="19.71875" bestFit="1" customWidth="1"/>
    <col min="15647" max="15647" width="13.5" bestFit="1" customWidth="1"/>
    <col min="15648" max="15648" width="15.88671875" bestFit="1" customWidth="1"/>
    <col min="15649" max="15649" width="17.109375" bestFit="1" customWidth="1"/>
    <col min="15650" max="15650" width="19.38671875" bestFit="1" customWidth="1"/>
    <col min="15651" max="15651" width="19.71875" bestFit="1" customWidth="1"/>
    <col min="15903" max="15903" width="13.5" bestFit="1" customWidth="1"/>
    <col min="15904" max="15904" width="15.88671875" bestFit="1" customWidth="1"/>
    <col min="15905" max="15905" width="17.109375" bestFit="1" customWidth="1"/>
    <col min="15906" max="15906" width="19.38671875" bestFit="1" customWidth="1"/>
    <col min="15907" max="15907" width="19.71875" bestFit="1" customWidth="1"/>
    <col min="16159" max="16159" width="13.5" bestFit="1" customWidth="1"/>
    <col min="16160" max="16160" width="15.88671875" bestFit="1" customWidth="1"/>
    <col min="16161" max="16161" width="17.109375" bestFit="1" customWidth="1"/>
    <col min="16162" max="16162" width="19.38671875" bestFit="1" customWidth="1"/>
    <col min="16163" max="16163" width="19.71875" bestFit="1" customWidth="1"/>
  </cols>
  <sheetData>
    <row r="1" spans="1:35" x14ac:dyDescent="0.45">
      <c r="A1" s="1"/>
      <c r="B1" s="1"/>
      <c r="C1" s="1"/>
      <c r="D1" s="1"/>
      <c r="E1" s="1"/>
      <c r="F1" s="1"/>
      <c r="G1" s="1"/>
      <c r="H1" s="2" t="s">
        <v>0</v>
      </c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3" t="s">
        <v>1</v>
      </c>
      <c r="V1" s="4">
        <v>2</v>
      </c>
      <c r="W1" s="1"/>
      <c r="X1" s="1"/>
      <c r="Y1" s="1"/>
      <c r="Z1" s="1"/>
      <c r="AA1" s="1"/>
      <c r="AB1" s="1"/>
      <c r="AC1" s="1"/>
      <c r="AD1" s="5">
        <f>SUM($AD$10:$AD$116)*1000000</f>
        <v>2.2808421817899216E-6</v>
      </c>
      <c r="AE1" s="1"/>
      <c r="AF1" s="1"/>
      <c r="AG1" s="1"/>
      <c r="AH1" s="1"/>
      <c r="AI1" s="1"/>
    </row>
    <row r="2" spans="1:35" x14ac:dyDescent="0.45">
      <c r="A2" s="2" t="s">
        <v>2</v>
      </c>
      <c r="B2" s="2" t="s">
        <v>3</v>
      </c>
      <c r="C2" s="2" t="s">
        <v>4</v>
      </c>
      <c r="D2" s="2" t="s">
        <v>5</v>
      </c>
      <c r="E2" s="2" t="s">
        <v>6</v>
      </c>
      <c r="F2" s="6" t="s">
        <v>7</v>
      </c>
      <c r="G2" s="1"/>
      <c r="H2" s="2" t="s">
        <v>3</v>
      </c>
      <c r="I2" s="2" t="s">
        <v>8</v>
      </c>
      <c r="J2" s="2" t="s">
        <v>9</v>
      </c>
      <c r="K2" s="1"/>
      <c r="L2" s="2" t="s">
        <v>2</v>
      </c>
      <c r="M2" s="2" t="s">
        <v>10</v>
      </c>
      <c r="N2" s="2" t="s">
        <v>11</v>
      </c>
      <c r="O2" s="2" t="s">
        <v>12</v>
      </c>
      <c r="P2" s="2" t="s">
        <v>13</v>
      </c>
      <c r="Q2" s="2" t="s">
        <v>28</v>
      </c>
      <c r="R2" s="2"/>
      <c r="S2" s="2"/>
      <c r="T2" s="2"/>
      <c r="U2" s="2" t="s">
        <v>2</v>
      </c>
      <c r="V2" s="2" t="s">
        <v>10</v>
      </c>
      <c r="W2" s="2" t="s">
        <v>11</v>
      </c>
      <c r="X2" s="2" t="s">
        <v>12</v>
      </c>
      <c r="Y2" s="2" t="s">
        <v>13</v>
      </c>
      <c r="Z2" s="1"/>
      <c r="AA2" s="1"/>
      <c r="AB2" s="1"/>
      <c r="AC2" s="1"/>
      <c r="AD2" s="1"/>
      <c r="AE2" s="1"/>
      <c r="AF2" s="1"/>
      <c r="AG2" s="1"/>
      <c r="AH2" s="1"/>
      <c r="AI2" s="1"/>
    </row>
    <row r="3" spans="1:35" x14ac:dyDescent="0.45">
      <c r="A3" s="2" t="s">
        <v>14</v>
      </c>
      <c r="B3" s="2" t="s">
        <v>14</v>
      </c>
      <c r="C3" s="2" t="s">
        <v>14</v>
      </c>
      <c r="D3" s="2" t="s">
        <v>14</v>
      </c>
      <c r="E3" s="2" t="s">
        <v>14</v>
      </c>
      <c r="F3" s="2" t="s">
        <v>14</v>
      </c>
      <c r="G3" s="1"/>
      <c r="H3" s="2" t="s">
        <v>14</v>
      </c>
      <c r="I3" s="2" t="s">
        <v>14</v>
      </c>
      <c r="J3" s="2">
        <v>0.5</v>
      </c>
      <c r="K3" s="1"/>
      <c r="L3" s="2" t="s">
        <v>14</v>
      </c>
      <c r="M3" s="2" t="s">
        <v>14</v>
      </c>
      <c r="N3" s="2" t="s">
        <v>14</v>
      </c>
      <c r="O3" s="2" t="s">
        <v>14</v>
      </c>
      <c r="P3" s="2" t="s">
        <v>14</v>
      </c>
      <c r="Q3" s="2" t="s">
        <v>14</v>
      </c>
      <c r="R3" s="2"/>
      <c r="S3" s="2"/>
      <c r="T3" s="2"/>
      <c r="U3" s="2" t="s">
        <v>14</v>
      </c>
      <c r="V3" s="2" t="s">
        <v>14</v>
      </c>
      <c r="W3" s="2" t="s">
        <v>14</v>
      </c>
      <c r="X3" s="2" t="s">
        <v>14</v>
      </c>
      <c r="Y3" s="2" t="s">
        <v>14</v>
      </c>
      <c r="Z3" s="1"/>
      <c r="AA3" s="1"/>
      <c r="AB3" s="1"/>
      <c r="AC3" s="1"/>
      <c r="AD3" s="1"/>
      <c r="AE3" s="1"/>
      <c r="AF3" s="1"/>
      <c r="AG3" s="1"/>
      <c r="AH3" s="1"/>
      <c r="AI3" s="1"/>
    </row>
    <row r="4" spans="1:35" x14ac:dyDescent="0.4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3" t="s">
        <v>15</v>
      </c>
      <c r="M4" s="7">
        <v>0.02</v>
      </c>
      <c r="N4" s="8" t="s">
        <v>16</v>
      </c>
      <c r="O4" s="3" t="s">
        <v>17</v>
      </c>
      <c r="P4" s="9">
        <f>(1+M5)/(1+M4)</f>
        <v>0.98039215686274506</v>
      </c>
      <c r="Q4" s="9"/>
      <c r="R4" s="1"/>
      <c r="S4" s="1"/>
      <c r="T4" s="1"/>
      <c r="U4" s="3" t="s">
        <v>15</v>
      </c>
      <c r="V4" s="10">
        <f>+M4</f>
        <v>0.02</v>
      </c>
      <c r="W4" s="8" t="s">
        <v>16</v>
      </c>
      <c r="X4" s="3" t="s">
        <v>17</v>
      </c>
      <c r="Y4" s="9">
        <f>((1+V5)/(1+V4))^V1</f>
        <v>0.96116878123798533</v>
      </c>
      <c r="Z4" s="1"/>
      <c r="AA4" s="1"/>
      <c r="AB4" s="1"/>
      <c r="AC4" s="1"/>
      <c r="AD4" s="1"/>
      <c r="AE4" s="1"/>
      <c r="AF4" s="1"/>
      <c r="AG4" s="1"/>
      <c r="AH4" s="1"/>
      <c r="AI4" s="1"/>
    </row>
    <row r="5" spans="1:35" x14ac:dyDescent="0.45">
      <c r="A5" s="11" t="s">
        <v>18</v>
      </c>
      <c r="B5" s="1"/>
      <c r="C5" s="1"/>
      <c r="D5" s="1"/>
      <c r="E5" s="1"/>
      <c r="F5" s="1"/>
      <c r="G5" s="1"/>
      <c r="H5" s="1"/>
      <c r="I5" s="1"/>
      <c r="J5" s="1"/>
      <c r="K5" s="1"/>
      <c r="L5" s="3" t="s">
        <v>19</v>
      </c>
      <c r="M5" s="7">
        <v>0</v>
      </c>
      <c r="N5" s="8" t="s">
        <v>16</v>
      </c>
      <c r="O5" s="3" t="s">
        <v>20</v>
      </c>
      <c r="P5" s="10">
        <f>(1+M4)/(1+M5)-1</f>
        <v>2.0000000000000018E-2</v>
      </c>
      <c r="Q5" s="10"/>
      <c r="R5" s="1"/>
      <c r="S5" s="1"/>
      <c r="T5" s="1"/>
      <c r="U5" s="3" t="s">
        <v>19</v>
      </c>
      <c r="V5" s="10">
        <f>+M5</f>
        <v>0</v>
      </c>
      <c r="W5" s="8" t="s">
        <v>16</v>
      </c>
      <c r="X5" s="3" t="s">
        <v>20</v>
      </c>
      <c r="Y5" s="10">
        <f>((1+V4)/(1+V5))^V1-1</f>
        <v>4.0399999999999991E-2</v>
      </c>
      <c r="Z5" s="1"/>
      <c r="AA5" s="1"/>
      <c r="AB5" s="1"/>
      <c r="AC5" s="11" t="s">
        <v>21</v>
      </c>
      <c r="AD5" s="1"/>
      <c r="AE5" s="1"/>
      <c r="AF5" s="1"/>
      <c r="AG5" s="1"/>
      <c r="AH5" s="1"/>
      <c r="AI5" s="1"/>
    </row>
    <row r="6" spans="1:35" x14ac:dyDescent="0.45">
      <c r="A6" s="11" t="s">
        <v>22</v>
      </c>
      <c r="B6" s="1"/>
      <c r="C6" s="1"/>
      <c r="D6" s="1"/>
      <c r="E6" s="1"/>
      <c r="F6" s="1"/>
      <c r="G6" s="1"/>
      <c r="H6" s="1"/>
      <c r="I6" s="1"/>
      <c r="J6" s="1"/>
      <c r="K6" s="1"/>
      <c r="L6" s="11" t="s">
        <v>23</v>
      </c>
      <c r="M6" s="12">
        <f>ABS(P4-(1+P5)^-1)*1000000</f>
        <v>0</v>
      </c>
      <c r="N6" s="1"/>
      <c r="O6" s="13" t="s">
        <v>24</v>
      </c>
      <c r="P6" s="14">
        <f>+P5/(1+P5)</f>
        <v>1.9607843137254919E-2</v>
      </c>
      <c r="Q6" s="14"/>
      <c r="R6" s="1"/>
      <c r="S6" s="1"/>
      <c r="T6" s="1"/>
      <c r="U6" s="11" t="s">
        <v>23</v>
      </c>
      <c r="V6" s="12">
        <f>ABS(Y4-(1+Y5)^-1)*1000000</f>
        <v>1.1102230246251565E-10</v>
      </c>
      <c r="W6" s="1"/>
      <c r="X6" s="13" t="s">
        <v>24</v>
      </c>
      <c r="Y6" s="14">
        <f>+Y5/(1+Y5)</f>
        <v>3.8831218762014605E-2</v>
      </c>
      <c r="Z6" s="1"/>
      <c r="AA6" s="11" t="s">
        <v>25</v>
      </c>
      <c r="AB6" s="11" t="s">
        <v>26</v>
      </c>
      <c r="AC6" s="11" t="s">
        <v>26</v>
      </c>
      <c r="AD6" s="11" t="s">
        <v>27</v>
      </c>
      <c r="AE6" s="11" t="str">
        <f>CONCATENATE(AB6,V1)</f>
        <v>WholeLifeInsurance2</v>
      </c>
      <c r="AF6" s="11" t="str">
        <f>CONCATENATE("Var(",AB6,")")</f>
        <v>Var(WholeLifeInsurance)</v>
      </c>
      <c r="AG6" s="11" t="str">
        <f>CONCATENATE("Var(",AA6,")")</f>
        <v>Var(WholeLifeAnnuityDue)</v>
      </c>
      <c r="AH6" s="11" t="str">
        <f>CONCATENATE("StdDev(",AA6,")")</f>
        <v>StdDev(WholeLifeAnnuityDue)</v>
      </c>
      <c r="AI6" s="11" t="str">
        <f>CONCATENATE("CoefVar(",AA6,")")</f>
        <v>CoefVar(WholeLifeAnnuityDue)</v>
      </c>
    </row>
    <row r="7" spans="1:35" x14ac:dyDescent="0.4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</row>
    <row r="8" spans="1:35" x14ac:dyDescent="0.4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5"/>
      <c r="Y8" s="15"/>
      <c r="Z8" s="1"/>
      <c r="AA8" s="1"/>
      <c r="AB8" s="1"/>
      <c r="AC8" s="1"/>
      <c r="AD8" s="1"/>
      <c r="AE8" s="1"/>
      <c r="AF8" s="1"/>
      <c r="AG8" s="1"/>
      <c r="AH8" s="1"/>
      <c r="AI8" s="1"/>
    </row>
    <row r="9" spans="1:35" x14ac:dyDescent="0.4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5"/>
      <c r="Y9" s="15"/>
      <c r="Z9" s="1"/>
      <c r="AA9" s="1"/>
      <c r="AB9" s="1"/>
      <c r="AC9" s="1"/>
      <c r="AD9" s="1"/>
      <c r="AE9" s="1"/>
      <c r="AF9" s="1"/>
      <c r="AG9" s="1"/>
      <c r="AH9" s="1"/>
      <c r="AI9" s="1"/>
    </row>
    <row r="10" spans="1:35" x14ac:dyDescent="0.45">
      <c r="A10" s="16">
        <v>0</v>
      </c>
      <c r="B10" s="17">
        <v>100000</v>
      </c>
      <c r="C10" s="18">
        <f t="shared" ref="C10:C73" si="0">+B10-B11</f>
        <v>1168</v>
      </c>
      <c r="D10" s="19">
        <v>1.1679999999999999E-2</v>
      </c>
      <c r="E10" s="20">
        <f t="shared" ref="E10:E73" si="1">1-D10</f>
        <v>0.98831999999999998</v>
      </c>
      <c r="F10" s="21">
        <f t="shared" ref="F10:F73" si="2">0.5*(C9+C10)/B10</f>
        <v>5.8399999999999997E-3</v>
      </c>
      <c r="G10" s="1"/>
      <c r="H10" s="22">
        <f t="shared" ref="H10:H73" si="3">+H11+B10</f>
        <v>7750362.9984832639</v>
      </c>
      <c r="I10" s="19">
        <f>+H11/B10</f>
        <v>76.503629984832642</v>
      </c>
      <c r="J10" s="23">
        <f>I10+0.5</f>
        <v>77.003629984832642</v>
      </c>
      <c r="K10" s="1"/>
      <c r="L10" s="3">
        <f t="shared" ref="L10:L73" si="4">A10</f>
        <v>0</v>
      </c>
      <c r="M10" s="24">
        <f t="shared" ref="M10:M73" si="5">B10*$P$4^L10</f>
        <v>100000</v>
      </c>
      <c r="N10" s="24">
        <f t="shared" ref="N10:N73" si="6">N11+M10</f>
        <v>3922554.4460704718</v>
      </c>
      <c r="O10" s="24">
        <f t="shared" ref="O10:O73" si="7">C10*$P$4^(L10+1)</f>
        <v>1145.0980392156862</v>
      </c>
      <c r="P10" s="24">
        <f t="shared" ref="P10:Q73" si="8">P11+O10</f>
        <v>23087.167724108262</v>
      </c>
      <c r="Q10" s="24">
        <f t="shared" si="8"/>
        <v>1605442.6464585408</v>
      </c>
      <c r="R10" s="1"/>
      <c r="S10" s="1"/>
      <c r="T10" s="1"/>
      <c r="U10" s="3">
        <f>L10</f>
        <v>0</v>
      </c>
      <c r="V10" s="24">
        <f>B10*$Y$4^U10</f>
        <v>100000</v>
      </c>
      <c r="W10" s="24">
        <f t="shared" ref="W10:W73" si="9">W11+V10</f>
        <v>2401929.5260561211</v>
      </c>
      <c r="X10" s="24">
        <f>C10*$Y$4^(U10+1)</f>
        <v>1122.6451364859668</v>
      </c>
      <c r="Y10" s="24">
        <f t="shared" ref="Y10:Y73" si="10">Y11+X10</f>
        <v>6730.1491227724928</v>
      </c>
      <c r="Z10" s="1"/>
      <c r="AA10" s="25">
        <f>N10/M10</f>
        <v>39.225544460704718</v>
      </c>
      <c r="AB10" s="1">
        <f>P10/M10/(1+$V$5)</f>
        <v>0.23087167724108262</v>
      </c>
      <c r="AC10" s="1">
        <f>(1-AB10*(1+$V$5))/$P$6</f>
        <v>39.225544460704754</v>
      </c>
      <c r="AD10" s="26">
        <f>ABS(AA10-AC10)</f>
        <v>3.5527136788005009E-14</v>
      </c>
      <c r="AE10" s="1">
        <f>Y10/V10/(1+$V$5)^2</f>
        <v>6.7301491227724927E-2</v>
      </c>
      <c r="AF10" s="1">
        <f>(AE10-AB10^2)</f>
        <v>1.3999759875614297E-2</v>
      </c>
      <c r="AG10" s="1">
        <f>(AE10-AB10^2)/$P$6^2</f>
        <v>36.413375436472727</v>
      </c>
      <c r="AH10" s="1">
        <f>AG10^0.5</f>
        <v>6.0343496282924081</v>
      </c>
      <c r="AI10" s="1">
        <f>+AH10/AA10</f>
        <v>0.15383724333864851</v>
      </c>
    </row>
    <row r="11" spans="1:35" x14ac:dyDescent="0.45">
      <c r="A11" s="16">
        <f t="shared" ref="A11:A74" si="11">+A10+1</f>
        <v>1</v>
      </c>
      <c r="B11" s="17">
        <f t="shared" ref="B11:B74" si="12">+B10*(1-D10)</f>
        <v>98832</v>
      </c>
      <c r="C11" s="18">
        <f t="shared" si="0"/>
        <v>95.999998689600034</v>
      </c>
      <c r="D11" s="19">
        <v>9.7134529999999997E-4</v>
      </c>
      <c r="E11" s="20">
        <f t="shared" si="1"/>
        <v>0.99902865470000002</v>
      </c>
      <c r="F11" s="21">
        <f t="shared" si="2"/>
        <v>6.3946899723247531E-3</v>
      </c>
      <c r="G11" s="1"/>
      <c r="H11" s="22">
        <f t="shared" si="3"/>
        <v>7650362.9984832639</v>
      </c>
      <c r="I11" s="19">
        <f t="shared" ref="I11:I74" si="13">+H12/B11</f>
        <v>76.407752534434835</v>
      </c>
      <c r="J11" s="23">
        <f t="shared" ref="J11:J74" si="14">I11+0.5</f>
        <v>76.907752534434835</v>
      </c>
      <c r="K11" s="1"/>
      <c r="L11" s="3">
        <f t="shared" si="4"/>
        <v>1</v>
      </c>
      <c r="M11" s="24">
        <f t="shared" si="5"/>
        <v>96894.117647058825</v>
      </c>
      <c r="N11" s="24">
        <f t="shared" si="6"/>
        <v>3822554.4460704718</v>
      </c>
      <c r="O11" s="24">
        <f t="shared" si="7"/>
        <v>92.272201739331052</v>
      </c>
      <c r="P11" s="24">
        <f t="shared" si="8"/>
        <v>21942.069684892576</v>
      </c>
      <c r="Q11" s="24">
        <f t="shared" si="8"/>
        <v>1582355.4787344325</v>
      </c>
      <c r="R11" s="1"/>
      <c r="S11" s="1"/>
      <c r="T11" s="1"/>
      <c r="U11" s="3">
        <f>L11</f>
        <v>1</v>
      </c>
      <c r="V11" s="24">
        <f>B11*$Y$4^U11</f>
        <v>94994.232987312571</v>
      </c>
      <c r="W11" s="24">
        <f t="shared" si="9"/>
        <v>2301929.5260561211</v>
      </c>
      <c r="X11" s="24">
        <f>C11*$Y$4^(U11+1)</f>
        <v>88.689159687938343</v>
      </c>
      <c r="Y11" s="24">
        <f t="shared" si="10"/>
        <v>5607.503986286526</v>
      </c>
      <c r="Z11" s="1"/>
      <c r="AA11" s="25">
        <f>N11/M11</f>
        <v>39.450841174840953</v>
      </c>
      <c r="AB11" s="1">
        <f>P11/M11/(1+$V$5)</f>
        <v>0.22645409461096028</v>
      </c>
      <c r="AC11" s="1">
        <f>(1-AB11*(1+$V$5))/$P$6</f>
        <v>39.450841174840988</v>
      </c>
      <c r="AD11" s="26">
        <f t="shared" ref="AD11:AD74" si="15">ABS(AA11-AC11)</f>
        <v>3.5527136788005009E-14</v>
      </c>
      <c r="AE11" s="1">
        <f t="shared" ref="AE11:AE74" si="16">Y11/V11/(1+$V$5)^2</f>
        <v>5.9029941186381961E-2</v>
      </c>
      <c r="AF11" s="1">
        <f t="shared" ref="AF11:AF74" si="17">(AE11-AB11^2)</f>
        <v>7.7484842203122128E-3</v>
      </c>
      <c r="AG11" s="1">
        <f t="shared" ref="AG11:AG74" si="18">(AE11-AB11^2)/$P$6^2</f>
        <v>20.15380745703203</v>
      </c>
      <c r="AH11" s="1">
        <f t="shared" ref="AH11:AH74" si="19">AG11^0.5</f>
        <v>4.4892992166965247</v>
      </c>
      <c r="AI11" s="1">
        <f t="shared" ref="AI11:AI74" si="20">+AH11/AA11</f>
        <v>0.1137947654094507</v>
      </c>
    </row>
    <row r="12" spans="1:35" x14ac:dyDescent="0.45">
      <c r="A12" s="16">
        <f t="shared" si="11"/>
        <v>2</v>
      </c>
      <c r="B12" s="17">
        <f t="shared" si="12"/>
        <v>98736.0000013104</v>
      </c>
      <c r="C12" s="18">
        <f t="shared" si="0"/>
        <v>59.000002882385161</v>
      </c>
      <c r="D12" s="19">
        <v>5.9755310000000005E-4</v>
      </c>
      <c r="E12" s="20">
        <f t="shared" si="1"/>
        <v>0.99940244690000002</v>
      </c>
      <c r="F12" s="21">
        <f t="shared" si="2"/>
        <v>7.8492141452929062E-4</v>
      </c>
      <c r="G12" s="1"/>
      <c r="H12" s="22">
        <f t="shared" si="3"/>
        <v>7551530.9984832639</v>
      </c>
      <c r="I12" s="19">
        <f t="shared" si="13"/>
        <v>75.482043007444517</v>
      </c>
      <c r="J12" s="23">
        <f t="shared" si="14"/>
        <v>75.982043007444517</v>
      </c>
      <c r="K12" s="1"/>
      <c r="L12" s="3">
        <f t="shared" si="4"/>
        <v>2</v>
      </c>
      <c r="M12" s="24">
        <f t="shared" si="5"/>
        <v>94901.960785573232</v>
      </c>
      <c r="N12" s="24">
        <f t="shared" si="6"/>
        <v>3725660.328423413</v>
      </c>
      <c r="O12" s="24">
        <f t="shared" si="7"/>
        <v>55.597020454411535</v>
      </c>
      <c r="P12" s="24">
        <f t="shared" si="8"/>
        <v>21849.797483153245</v>
      </c>
      <c r="Q12" s="24">
        <f t="shared" si="8"/>
        <v>1560413.4090495398</v>
      </c>
      <c r="R12" s="1"/>
      <c r="S12" s="1"/>
      <c r="T12" s="1"/>
      <c r="U12" s="3">
        <f>L12</f>
        <v>2</v>
      </c>
      <c r="V12" s="24">
        <f>B12*$Y$4^U12</f>
        <v>91216.801985364509</v>
      </c>
      <c r="W12" s="24">
        <f t="shared" si="9"/>
        <v>2206935.2930688085</v>
      </c>
      <c r="X12" s="24">
        <f>C12*$Y$4^(U12+1)</f>
        <v>52.390314108460856</v>
      </c>
      <c r="Y12" s="24">
        <f t="shared" si="10"/>
        <v>5518.8148265985874</v>
      </c>
      <c r="Z12" s="1"/>
      <c r="AA12" s="25">
        <f>N12/M12</f>
        <v>39.257991063444699</v>
      </c>
      <c r="AB12" s="1">
        <f>P12/M12/(1+$V$5)</f>
        <v>0.23023546934422032</v>
      </c>
      <c r="AC12" s="1">
        <f>(1-AB12*(1+$V$5))/$P$6</f>
        <v>39.257991063444727</v>
      </c>
      <c r="AD12" s="26">
        <f t="shared" si="15"/>
        <v>2.8421709430404007E-14</v>
      </c>
      <c r="AE12" s="1">
        <f t="shared" si="16"/>
        <v>6.0502174012678787E-2</v>
      </c>
      <c r="AF12" s="1">
        <f t="shared" si="17"/>
        <v>7.4938026685253747E-3</v>
      </c>
      <c r="AG12" s="1">
        <f t="shared" si="18"/>
        <v>19.491380740834465</v>
      </c>
      <c r="AH12" s="1">
        <f t="shared" si="19"/>
        <v>4.4149043863751416</v>
      </c>
      <c r="AI12" s="1">
        <f t="shared" si="20"/>
        <v>0.11245874449459807</v>
      </c>
    </row>
    <row r="13" spans="1:35" x14ac:dyDescent="0.45">
      <c r="A13" s="16">
        <f t="shared" si="11"/>
        <v>3</v>
      </c>
      <c r="B13" s="17">
        <f t="shared" si="12"/>
        <v>98676.999998428015</v>
      </c>
      <c r="C13" s="18">
        <f t="shared" si="0"/>
        <v>46.000000529078534</v>
      </c>
      <c r="D13" s="19">
        <v>4.661674E-4</v>
      </c>
      <c r="E13" s="20">
        <f t="shared" si="1"/>
        <v>0.99953383259999995</v>
      </c>
      <c r="F13" s="21">
        <f t="shared" si="2"/>
        <v>5.3203889160157087E-4</v>
      </c>
      <c r="G13" s="1"/>
      <c r="H13" s="22">
        <f t="shared" si="3"/>
        <v>7452794.9984819535</v>
      </c>
      <c r="I13" s="19">
        <f t="shared" si="13"/>
        <v>74.52717450470405</v>
      </c>
      <c r="J13" s="23">
        <f t="shared" si="14"/>
        <v>75.02717450470405</v>
      </c>
      <c r="K13" s="1"/>
      <c r="L13" s="3">
        <f t="shared" si="4"/>
        <v>3</v>
      </c>
      <c r="M13" s="24">
        <f t="shared" si="5"/>
        <v>92985.541004617378</v>
      </c>
      <c r="N13" s="24">
        <f t="shared" si="6"/>
        <v>3630758.3676378396</v>
      </c>
      <c r="O13" s="24">
        <f t="shared" si="7"/>
        <v>42.496890086006431</v>
      </c>
      <c r="P13" s="24">
        <f t="shared" si="8"/>
        <v>21794.200462698835</v>
      </c>
      <c r="Q13" s="24">
        <f t="shared" si="8"/>
        <v>1538563.6115663867</v>
      </c>
      <c r="R13" s="1"/>
      <c r="S13" s="1"/>
      <c r="T13" s="1"/>
      <c r="U13" s="3">
        <f>L13</f>
        <v>3</v>
      </c>
      <c r="V13" s="24">
        <f>B13*$Y$4^U13</f>
        <v>87622.352078590979</v>
      </c>
      <c r="W13" s="24">
        <f t="shared" si="9"/>
        <v>2115718.4910834441</v>
      </c>
      <c r="X13" s="24">
        <f>C13*$Y$4^(U13+1)</f>
        <v>39.260557526308553</v>
      </c>
      <c r="Y13" s="24">
        <f t="shared" si="10"/>
        <v>5466.4245124901263</v>
      </c>
      <c r="Z13" s="1"/>
      <c r="AA13" s="25">
        <f>N13/M13</f>
        <v>39.046483231812857</v>
      </c>
      <c r="AB13" s="1">
        <f>P13/M13/(1+$V$5)</f>
        <v>0.2343826817291583</v>
      </c>
      <c r="AC13" s="1">
        <f>(1-AB13*(1+$V$5))/$P$6</f>
        <v>39.046483231812893</v>
      </c>
      <c r="AD13" s="26">
        <f t="shared" si="15"/>
        <v>3.5527136788005009E-14</v>
      </c>
      <c r="AE13" s="1">
        <f t="shared" si="16"/>
        <v>6.2386187802709686E-2</v>
      </c>
      <c r="AF13" s="1">
        <f t="shared" si="17"/>
        <v>7.4509463081577701E-3</v>
      </c>
      <c r="AG13" s="1">
        <f t="shared" si="18"/>
        <v>19.379911347518327</v>
      </c>
      <c r="AH13" s="1">
        <f t="shared" si="19"/>
        <v>4.4022620716534275</v>
      </c>
      <c r="AI13" s="1">
        <f t="shared" si="20"/>
        <v>0.11274413743019793</v>
      </c>
    </row>
    <row r="14" spans="1:35" x14ac:dyDescent="0.45">
      <c r="A14" s="16">
        <f t="shared" si="11"/>
        <v>4</v>
      </c>
      <c r="B14" s="17">
        <f t="shared" si="12"/>
        <v>98630.999997898936</v>
      </c>
      <c r="C14" s="18">
        <f t="shared" si="0"/>
        <v>37.99999934558582</v>
      </c>
      <c r="D14" s="19">
        <v>3.8527439999999999E-4</v>
      </c>
      <c r="E14" s="20">
        <f t="shared" si="1"/>
        <v>0.99961472559999998</v>
      </c>
      <c r="F14" s="21">
        <f t="shared" si="2"/>
        <v>4.2582960669796386E-4</v>
      </c>
      <c r="G14" s="1"/>
      <c r="H14" s="22">
        <f t="shared" si="3"/>
        <v>7354117.9984835256</v>
      </c>
      <c r="I14" s="19">
        <f t="shared" si="13"/>
        <v>73.561932847078353</v>
      </c>
      <c r="J14" s="23">
        <f t="shared" si="14"/>
        <v>74.061932847078353</v>
      </c>
      <c r="K14" s="1"/>
      <c r="L14" s="3">
        <f t="shared" si="4"/>
        <v>4</v>
      </c>
      <c r="M14" s="24">
        <f t="shared" si="5"/>
        <v>91119.798212480047</v>
      </c>
      <c r="N14" s="24">
        <f t="shared" si="6"/>
        <v>3537772.8266332224</v>
      </c>
      <c r="O14" s="24">
        <f t="shared" si="7"/>
        <v>34.417770180813712</v>
      </c>
      <c r="P14" s="24">
        <f t="shared" si="8"/>
        <v>21751.703572612827</v>
      </c>
      <c r="Q14" s="24">
        <f t="shared" si="8"/>
        <v>1516769.4111036877</v>
      </c>
      <c r="R14" s="1"/>
      <c r="S14" s="1"/>
      <c r="T14" s="1"/>
      <c r="U14" s="3">
        <f>L14</f>
        <v>4</v>
      </c>
      <c r="V14" s="24">
        <f>B14*$Y$4^U14</f>
        <v>84180.608799058624</v>
      </c>
      <c r="W14" s="24">
        <f t="shared" si="9"/>
        <v>2028096.1390048531</v>
      </c>
      <c r="X14" s="24">
        <f>C14*$Y$4^(U14+1)</f>
        <v>31.173234858408332</v>
      </c>
      <c r="Y14" s="24">
        <f t="shared" si="10"/>
        <v>5427.1639549638176</v>
      </c>
      <c r="Z14" s="1"/>
      <c r="AA14" s="25">
        <f>N14/M14</f>
        <v>38.825512084471214</v>
      </c>
      <c r="AB14" s="1">
        <f>P14/M14/(1+$V$5)</f>
        <v>0.23871544932409264</v>
      </c>
      <c r="AC14" s="1">
        <f>(1-AB14*(1+$V$5))/$P$6</f>
        <v>38.825512084471242</v>
      </c>
      <c r="AD14" s="26">
        <f t="shared" si="15"/>
        <v>2.8421709430404007E-14</v>
      </c>
      <c r="AE14" s="1">
        <f t="shared" si="16"/>
        <v>6.4470476424310544E-2</v>
      </c>
      <c r="AF14" s="1">
        <f t="shared" si="17"/>
        <v>7.4854106783071028E-3</v>
      </c>
      <c r="AG14" s="1">
        <f t="shared" si="18"/>
        <v>19.46955317427674</v>
      </c>
      <c r="AH14" s="1">
        <f t="shared" si="19"/>
        <v>4.4124316622783795</v>
      </c>
      <c r="AI14" s="1">
        <f t="shared" si="20"/>
        <v>0.11364773895778675</v>
      </c>
    </row>
    <row r="15" spans="1:35" x14ac:dyDescent="0.45">
      <c r="A15" s="16">
        <f t="shared" si="11"/>
        <v>5</v>
      </c>
      <c r="B15" s="17">
        <f t="shared" si="12"/>
        <v>98592.99999855335</v>
      </c>
      <c r="C15" s="18">
        <f t="shared" si="0"/>
        <v>34.000003094799467</v>
      </c>
      <c r="D15" s="19">
        <v>3.4485210000000002E-4</v>
      </c>
      <c r="E15" s="20">
        <f t="shared" si="1"/>
        <v>0.99965514789999999</v>
      </c>
      <c r="F15" s="21">
        <f t="shared" si="2"/>
        <v>3.6513749678700181E-4</v>
      </c>
      <c r="G15" s="1"/>
      <c r="H15" s="22">
        <f t="shared" si="3"/>
        <v>7255486.9984856267</v>
      </c>
      <c r="I15" s="19">
        <f t="shared" si="13"/>
        <v>72.590285300093171</v>
      </c>
      <c r="J15" s="23">
        <f t="shared" si="14"/>
        <v>73.090285300093171</v>
      </c>
      <c r="K15" s="1"/>
      <c r="L15" s="3">
        <f t="shared" si="4"/>
        <v>5</v>
      </c>
      <c r="M15" s="24">
        <f t="shared" si="5"/>
        <v>89298.717732250603</v>
      </c>
      <c r="N15" s="24">
        <f t="shared" si="6"/>
        <v>3446653.0284207421</v>
      </c>
      <c r="O15" s="24">
        <f t="shared" si="7"/>
        <v>30.191029742423883</v>
      </c>
      <c r="P15" s="24">
        <f t="shared" si="8"/>
        <v>21717.285802432012</v>
      </c>
      <c r="Q15" s="24">
        <f t="shared" si="8"/>
        <v>1495017.707531075</v>
      </c>
      <c r="R15" s="1"/>
      <c r="S15" s="1"/>
      <c r="T15" s="1"/>
      <c r="U15" s="3">
        <f>L15</f>
        <v>5</v>
      </c>
      <c r="V15" s="24">
        <f>B15*$Y$4^U15</f>
        <v>80880.599928404408</v>
      </c>
      <c r="W15" s="24">
        <f t="shared" si="9"/>
        <v>1943915.5302057944</v>
      </c>
      <c r="X15" s="24">
        <f>C15*$Y$4^(U15+1)</f>
        <v>26.808770410004563</v>
      </c>
      <c r="Y15" s="24">
        <f t="shared" si="10"/>
        <v>5395.9907201054093</v>
      </c>
      <c r="Z15" s="1"/>
      <c r="AA15" s="25">
        <f>N15/M15</f>
        <v>38.596892720845524</v>
      </c>
      <c r="AB15" s="1">
        <f>P15/M15/(1+$V$5)</f>
        <v>0.24319818194420414</v>
      </c>
      <c r="AC15" s="1">
        <f>(1-AB15*(1+$V$5))/$P$6</f>
        <v>38.596892720845553</v>
      </c>
      <c r="AD15" s="26">
        <f t="shared" si="15"/>
        <v>2.8421709430404007E-14</v>
      </c>
      <c r="AE15" s="1">
        <f t="shared" si="16"/>
        <v>6.6715513051114186E-2</v>
      </c>
      <c r="AF15" s="1">
        <f t="shared" si="17"/>
        <v>7.5701573501479602E-3</v>
      </c>
      <c r="AG15" s="1">
        <f t="shared" si="18"/>
        <v>19.68997926773481</v>
      </c>
      <c r="AH15" s="1">
        <f t="shared" si="19"/>
        <v>4.4373392103528451</v>
      </c>
      <c r="AI15" s="1">
        <f t="shared" si="20"/>
        <v>0.11496622908082738</v>
      </c>
    </row>
    <row r="16" spans="1:35" x14ac:dyDescent="0.45">
      <c r="A16" s="16">
        <f t="shared" si="11"/>
        <v>6</v>
      </c>
      <c r="B16" s="17">
        <f t="shared" si="12"/>
        <v>98558.999995458551</v>
      </c>
      <c r="C16" s="18">
        <f t="shared" si="0"/>
        <v>30.999998810177203</v>
      </c>
      <c r="D16" s="19">
        <v>3.1453239999999999E-4</v>
      </c>
      <c r="E16" s="20">
        <f t="shared" si="1"/>
        <v>0.99968546759999999</v>
      </c>
      <c r="F16" s="21">
        <f t="shared" si="2"/>
        <v>3.2975173199794932E-4</v>
      </c>
      <c r="G16" s="1"/>
      <c r="H16" s="22">
        <f t="shared" si="3"/>
        <v>7156893.998487073</v>
      </c>
      <c r="I16" s="19">
        <f t="shared" si="13"/>
        <v>71.615326848048895</v>
      </c>
      <c r="J16" s="23">
        <f t="shared" si="14"/>
        <v>72.115326848048895</v>
      </c>
      <c r="K16" s="1"/>
      <c r="L16" s="3">
        <f t="shared" si="4"/>
        <v>6</v>
      </c>
      <c r="M16" s="24">
        <f t="shared" si="5"/>
        <v>87517.571452856209</v>
      </c>
      <c r="N16" s="24">
        <f t="shared" si="6"/>
        <v>3357354.3106884914</v>
      </c>
      <c r="O16" s="24">
        <f t="shared" si="7"/>
        <v>26.987364501218973</v>
      </c>
      <c r="P16" s="24">
        <f t="shared" si="8"/>
        <v>21687.094772689587</v>
      </c>
      <c r="Q16" s="24">
        <f t="shared" si="8"/>
        <v>1473300.4217286429</v>
      </c>
      <c r="R16" s="1"/>
      <c r="S16" s="1"/>
      <c r="T16" s="1"/>
      <c r="U16" s="3">
        <f>L16</f>
        <v>6</v>
      </c>
      <c r="V16" s="24">
        <f>B16*$Y$4^U16</f>
        <v>77713.098888571534</v>
      </c>
      <c r="W16" s="24">
        <f t="shared" si="9"/>
        <v>1863034.9302773899</v>
      </c>
      <c r="X16" s="24">
        <f>C16*$Y$4^(U16+1)</f>
        <v>23.49412486049998</v>
      </c>
      <c r="Y16" s="24">
        <f t="shared" si="10"/>
        <v>5369.1819496954049</v>
      </c>
      <c r="Z16" s="1"/>
      <c r="AA16" s="25">
        <f>N16/M16</f>
        <v>38.362059812148971</v>
      </c>
      <c r="AB16" s="1">
        <f>P16/M16/(1+$V$5)</f>
        <v>0.24780274878139125</v>
      </c>
      <c r="AC16" s="1">
        <f>(1-AB16*(1+$V$5))/$P$6</f>
        <v>38.362059812149013</v>
      </c>
      <c r="AD16" s="26">
        <f t="shared" si="15"/>
        <v>4.2632564145606011E-14</v>
      </c>
      <c r="AE16" s="1">
        <f t="shared" si="16"/>
        <v>6.9089793438735142E-2</v>
      </c>
      <c r="AF16" s="1">
        <f t="shared" si="17"/>
        <v>7.6835911351218408E-3</v>
      </c>
      <c r="AG16" s="1">
        <f t="shared" si="18"/>
        <v>19.985020542451874</v>
      </c>
      <c r="AH16" s="1">
        <f t="shared" si="19"/>
        <v>4.4704608870285254</v>
      </c>
      <c r="AI16" s="1">
        <f t="shared" si="20"/>
        <v>0.11653339025379353</v>
      </c>
    </row>
    <row r="17" spans="1:35" x14ac:dyDescent="0.45">
      <c r="A17" s="16">
        <f t="shared" si="11"/>
        <v>7</v>
      </c>
      <c r="B17" s="17">
        <f t="shared" si="12"/>
        <v>98527.999996648374</v>
      </c>
      <c r="C17" s="18">
        <f t="shared" si="0"/>
        <v>29.000002411819878</v>
      </c>
      <c r="D17" s="19">
        <v>2.943326E-4</v>
      </c>
      <c r="E17" s="20">
        <f t="shared" si="1"/>
        <v>0.9997056674</v>
      </c>
      <c r="F17" s="21">
        <f t="shared" si="2"/>
        <v>3.0448198087872536E-4</v>
      </c>
      <c r="G17" s="1"/>
      <c r="H17" s="22">
        <f t="shared" si="3"/>
        <v>7058334.9984916141</v>
      </c>
      <c r="I17" s="19">
        <f t="shared" si="13"/>
        <v>70.637859275857807</v>
      </c>
      <c r="J17" s="23">
        <f t="shared" si="14"/>
        <v>71.137859275857807</v>
      </c>
      <c r="K17" s="1"/>
      <c r="L17" s="3">
        <f t="shared" si="4"/>
        <v>7</v>
      </c>
      <c r="M17" s="24">
        <f t="shared" si="5"/>
        <v>85774.553275553888</v>
      </c>
      <c r="N17" s="24">
        <f t="shared" si="6"/>
        <v>3269836.7392356354</v>
      </c>
      <c r="O17" s="24">
        <f t="shared" si="7"/>
        <v>24.751222822978271</v>
      </c>
      <c r="P17" s="24">
        <f t="shared" si="8"/>
        <v>21660.107408188367</v>
      </c>
      <c r="Q17" s="24">
        <f t="shared" si="8"/>
        <v>1451613.3269559534</v>
      </c>
      <c r="R17" s="1"/>
      <c r="S17" s="1"/>
      <c r="T17" s="1"/>
      <c r="U17" s="3">
        <f>L17</f>
        <v>7</v>
      </c>
      <c r="V17" s="24">
        <f>B17*$Y$4^U17</f>
        <v>74671.910420094835</v>
      </c>
      <c r="W17" s="24">
        <f t="shared" si="9"/>
        <v>1785321.8313888183</v>
      </c>
      <c r="X17" s="24">
        <f>C17*$Y$4^(U17+1)</f>
        <v>21.124930354592877</v>
      </c>
      <c r="Y17" s="24">
        <f t="shared" si="10"/>
        <v>5345.6878248349049</v>
      </c>
      <c r="Z17" s="1"/>
      <c r="AA17" s="25">
        <f>N17/M17</f>
        <v>38.121291389663845</v>
      </c>
      <c r="AB17" s="1">
        <f>P17/M17/(1+$V$5)</f>
        <v>0.25252369824188392</v>
      </c>
      <c r="AC17" s="1">
        <f>(1-AB17*(1+$V$5))/$P$6</f>
        <v>38.121291389663888</v>
      </c>
      <c r="AD17" s="26">
        <f t="shared" si="15"/>
        <v>4.2632564145606011E-14</v>
      </c>
      <c r="AE17" s="1">
        <f t="shared" si="16"/>
        <v>7.1589005755453863E-2</v>
      </c>
      <c r="AF17" s="1">
        <f t="shared" si="17"/>
        <v>7.8207875816958122E-3</v>
      </c>
      <c r="AG17" s="1">
        <f t="shared" si="18"/>
        <v>20.341868499990774</v>
      </c>
      <c r="AH17" s="1">
        <f t="shared" si="19"/>
        <v>4.5101960600389397</v>
      </c>
      <c r="AI17" s="1">
        <f t="shared" si="20"/>
        <v>0.11831173330245125</v>
      </c>
    </row>
    <row r="18" spans="1:35" x14ac:dyDescent="0.45">
      <c r="A18" s="16">
        <f t="shared" si="11"/>
        <v>8</v>
      </c>
      <c r="B18" s="17">
        <f t="shared" si="12"/>
        <v>98498.999994236554</v>
      </c>
      <c r="C18" s="18">
        <f t="shared" si="0"/>
        <v>27.00000413392263</v>
      </c>
      <c r="D18" s="19">
        <v>2.7411450000000001E-4</v>
      </c>
      <c r="E18" s="20">
        <f t="shared" si="1"/>
        <v>0.99972588549999997</v>
      </c>
      <c r="F18" s="21">
        <f t="shared" si="2"/>
        <v>2.8426687859277365E-4</v>
      </c>
      <c r="G18" s="1"/>
      <c r="H18" s="22">
        <f t="shared" si="3"/>
        <v>6959806.998494966</v>
      </c>
      <c r="I18" s="19">
        <f t="shared" si="13"/>
        <v>69.658656421914969</v>
      </c>
      <c r="J18" s="23">
        <f t="shared" si="14"/>
        <v>70.158656421914969</v>
      </c>
      <c r="K18" s="1"/>
      <c r="L18" s="3">
        <f t="shared" si="4"/>
        <v>8</v>
      </c>
      <c r="M18" s="24">
        <f t="shared" si="5"/>
        <v>84067.948066935729</v>
      </c>
      <c r="N18" s="24">
        <f t="shared" si="6"/>
        <v>3184062.1859600814</v>
      </c>
      <c r="O18" s="24">
        <f t="shared" si="7"/>
        <v>22.5923956376433</v>
      </c>
      <c r="P18" s="24">
        <f t="shared" si="8"/>
        <v>21635.356185365388</v>
      </c>
      <c r="Q18" s="24">
        <f t="shared" si="8"/>
        <v>1429953.2195477651</v>
      </c>
      <c r="R18" s="1"/>
      <c r="S18" s="1"/>
      <c r="T18" s="1"/>
      <c r="U18" s="3">
        <f>L18</f>
        <v>8</v>
      </c>
      <c r="V18" s="24">
        <f>B18*$Y$4^U18</f>
        <v>71751.184200839969</v>
      </c>
      <c r="W18" s="24">
        <f t="shared" si="9"/>
        <v>1710649.9209687235</v>
      </c>
      <c r="X18" s="24">
        <f>C18*$Y$4^(U18+1)</f>
        <v>18.904306018476497</v>
      </c>
      <c r="Y18" s="24">
        <f t="shared" si="10"/>
        <v>5324.562894480312</v>
      </c>
      <c r="Z18" s="1"/>
      <c r="AA18" s="25">
        <f>N18/M18</f>
        <v>37.874865024954573</v>
      </c>
      <c r="AB18" s="1">
        <f>P18/M18/(1+$V$5)</f>
        <v>0.25735558774598738</v>
      </c>
      <c r="AC18" s="1">
        <f>(1-AB18*(1+$V$5))/$P$6</f>
        <v>37.874865024954609</v>
      </c>
      <c r="AD18" s="26">
        <f t="shared" si="15"/>
        <v>3.5527136788005009E-14</v>
      </c>
      <c r="AE18" s="1">
        <f t="shared" si="16"/>
        <v>7.4208711030834512E-2</v>
      </c>
      <c r="AF18" s="1">
        <f t="shared" si="17"/>
        <v>7.9768124867519025E-3</v>
      </c>
      <c r="AG18" s="1">
        <f t="shared" si="18"/>
        <v>20.747689278041662</v>
      </c>
      <c r="AH18" s="1">
        <f t="shared" si="19"/>
        <v>4.5549631478247621</v>
      </c>
      <c r="AI18" s="1">
        <f t="shared" si="20"/>
        <v>0.12026348199059292</v>
      </c>
    </row>
    <row r="19" spans="1:35" x14ac:dyDescent="0.45">
      <c r="A19" s="16">
        <f t="shared" si="11"/>
        <v>9</v>
      </c>
      <c r="B19" s="17">
        <f t="shared" si="12"/>
        <v>98471.999990102631</v>
      </c>
      <c r="C19" s="18">
        <f t="shared" si="0"/>
        <v>25.000002427084837</v>
      </c>
      <c r="D19" s="19">
        <v>2.5387929999999998E-4</v>
      </c>
      <c r="E19" s="20">
        <f t="shared" si="1"/>
        <v>0.99974612070000002</v>
      </c>
      <c r="F19" s="21">
        <f t="shared" si="2"/>
        <v>2.6403447968069074E-4</v>
      </c>
      <c r="G19" s="1"/>
      <c r="H19" s="22">
        <f t="shared" si="3"/>
        <v>6861307.998500729</v>
      </c>
      <c r="I19" s="19">
        <f t="shared" si="13"/>
        <v>68.677756105190866</v>
      </c>
      <c r="J19" s="23">
        <f t="shared" si="14"/>
        <v>69.177756105190866</v>
      </c>
      <c r="K19" s="1"/>
      <c r="L19" s="3">
        <f t="shared" si="4"/>
        <v>9</v>
      </c>
      <c r="M19" s="24">
        <f t="shared" si="5"/>
        <v>82396.964532730723</v>
      </c>
      <c r="N19" s="24">
        <f t="shared" si="6"/>
        <v>3099994.2378931455</v>
      </c>
      <c r="O19" s="24">
        <f t="shared" si="7"/>
        <v>20.508709487933796</v>
      </c>
      <c r="P19" s="24">
        <f t="shared" si="8"/>
        <v>21612.763789727745</v>
      </c>
      <c r="Q19" s="24">
        <f t="shared" si="8"/>
        <v>1408317.8633623996</v>
      </c>
      <c r="R19" s="1"/>
      <c r="S19" s="1"/>
      <c r="T19" s="1"/>
      <c r="U19" s="3">
        <f>L19</f>
        <v>9</v>
      </c>
      <c r="V19" s="24">
        <f>B19*$Y$4^U19</f>
        <v>68946.09396468506</v>
      </c>
      <c r="W19" s="24">
        <f t="shared" si="9"/>
        <v>1638898.7367678834</v>
      </c>
      <c r="X19" s="24">
        <f>C19*$Y$4^(U19+1)</f>
        <v>16.824284961059945</v>
      </c>
      <c r="Y19" s="24">
        <f t="shared" si="10"/>
        <v>5305.6585884618353</v>
      </c>
      <c r="Z19" s="1"/>
      <c r="AA19" s="25">
        <f>N19/M19</f>
        <v>37.622675246267455</v>
      </c>
      <c r="AB19" s="1">
        <f>P19/M19/(1+$V$5)</f>
        <v>0.26230048536730333</v>
      </c>
      <c r="AC19" s="1">
        <f>(1-AB19*(1+$V$5))/$P$6</f>
        <v>37.622675246267498</v>
      </c>
      <c r="AD19" s="26">
        <f t="shared" si="15"/>
        <v>4.2632564145606011E-14</v>
      </c>
      <c r="AE19" s="1">
        <f t="shared" si="16"/>
        <v>7.695372258767047E-2</v>
      </c>
      <c r="AF19" s="1">
        <f t="shared" si="17"/>
        <v>8.1521779637475644E-3</v>
      </c>
      <c r="AG19" s="1">
        <f t="shared" si="18"/>
        <v>21.203814883707377</v>
      </c>
      <c r="AH19" s="1">
        <f t="shared" si="19"/>
        <v>4.6047600245514833</v>
      </c>
      <c r="AI19" s="1">
        <f t="shared" si="20"/>
        <v>0.12239321086047228</v>
      </c>
    </row>
    <row r="20" spans="1:35" x14ac:dyDescent="0.45">
      <c r="A20" s="16">
        <f t="shared" si="11"/>
        <v>10</v>
      </c>
      <c r="B20" s="17">
        <f t="shared" si="12"/>
        <v>98446.999987675546</v>
      </c>
      <c r="C20" s="18">
        <f t="shared" si="0"/>
        <v>22.999995402511558</v>
      </c>
      <c r="D20" s="19">
        <v>2.3362820000000001E-4</v>
      </c>
      <c r="E20" s="20">
        <f t="shared" si="1"/>
        <v>0.99976637180000005</v>
      </c>
      <c r="F20" s="21">
        <f t="shared" si="2"/>
        <v>2.4378598553336035E-4</v>
      </c>
      <c r="G20" s="1"/>
      <c r="H20" s="22">
        <f t="shared" si="3"/>
        <v>6762835.9985106261</v>
      </c>
      <c r="I20" s="19">
        <f t="shared" si="13"/>
        <v>67.695196393564629</v>
      </c>
      <c r="J20" s="23">
        <f t="shared" si="14"/>
        <v>68.195196393564629</v>
      </c>
      <c r="K20" s="1"/>
      <c r="L20" s="3">
        <f t="shared" si="4"/>
        <v>10</v>
      </c>
      <c r="M20" s="24">
        <f t="shared" si="5"/>
        <v>80760.829067699044</v>
      </c>
      <c r="N20" s="24">
        <f t="shared" si="6"/>
        <v>3017597.2733604149</v>
      </c>
      <c r="O20" s="24">
        <f t="shared" si="7"/>
        <v>18.498046201555624</v>
      </c>
      <c r="P20" s="24">
        <f t="shared" si="8"/>
        <v>21592.255080239811</v>
      </c>
      <c r="Q20" s="24">
        <f t="shared" si="8"/>
        <v>1386705.0995726718</v>
      </c>
      <c r="R20" s="1"/>
      <c r="S20" s="1"/>
      <c r="T20" s="1"/>
      <c r="U20" s="3">
        <f>L20</f>
        <v>10</v>
      </c>
      <c r="V20" s="24">
        <f>B20*$Y$4^U20</f>
        <v>66252.008822194897</v>
      </c>
      <c r="W20" s="24">
        <f t="shared" si="9"/>
        <v>1569952.6428031984</v>
      </c>
      <c r="X20" s="24">
        <f>C20*$Y$4^(U20+1)</f>
        <v>14.877294855351201</v>
      </c>
      <c r="Y20" s="24">
        <f t="shared" si="10"/>
        <v>5288.8343035007756</v>
      </c>
      <c r="Z20" s="1"/>
      <c r="AA20" s="25">
        <f>N20/M20</f>
        <v>37.364614853456573</v>
      </c>
      <c r="AB20" s="1">
        <f>P20/M20/(1+$V$5)</f>
        <v>0.26736049306947757</v>
      </c>
      <c r="AC20" s="1">
        <f>(1-AB20*(1+$V$5))/$P$6</f>
        <v>37.364614853456615</v>
      </c>
      <c r="AD20" s="26">
        <f t="shared" si="15"/>
        <v>4.2632564145606011E-14</v>
      </c>
      <c r="AE20" s="1">
        <f t="shared" si="16"/>
        <v>7.9829040621164957E-2</v>
      </c>
      <c r="AF20" s="1">
        <f t="shared" si="17"/>
        <v>8.3474073668107912E-3</v>
      </c>
      <c r="AG20" s="1">
        <f t="shared" si="18"/>
        <v>21.711606561074831</v>
      </c>
      <c r="AH20" s="1">
        <f t="shared" si="19"/>
        <v>4.6595714997277193</v>
      </c>
      <c r="AI20" s="1">
        <f t="shared" si="20"/>
        <v>0.12470546044706964</v>
      </c>
    </row>
    <row r="21" spans="1:35" x14ac:dyDescent="0.45">
      <c r="A21" s="16">
        <f t="shared" si="11"/>
        <v>11</v>
      </c>
      <c r="B21" s="17">
        <f t="shared" si="12"/>
        <v>98423.999992273035</v>
      </c>
      <c r="C21" s="18">
        <f t="shared" si="0"/>
        <v>22.999995905396645</v>
      </c>
      <c r="D21" s="19">
        <v>2.336828E-4</v>
      </c>
      <c r="E21" s="20">
        <f t="shared" si="1"/>
        <v>0.99976631719999998</v>
      </c>
      <c r="F21" s="21">
        <f t="shared" si="2"/>
        <v>2.3368279744533611E-4</v>
      </c>
      <c r="G21" s="1"/>
      <c r="H21" s="22">
        <f t="shared" si="3"/>
        <v>6664388.9985229503</v>
      </c>
      <c r="I21" s="19">
        <f t="shared" si="13"/>
        <v>66.711015596258548</v>
      </c>
      <c r="J21" s="23">
        <f t="shared" si="14"/>
        <v>67.211015596258548</v>
      </c>
      <c r="K21" s="1"/>
      <c r="L21" s="3">
        <f t="shared" si="4"/>
        <v>11</v>
      </c>
      <c r="M21" s="24">
        <f t="shared" si="5"/>
        <v>79158.785353503379</v>
      </c>
      <c r="N21" s="24">
        <f t="shared" si="6"/>
        <v>2936836.4442927158</v>
      </c>
      <c r="O21" s="24">
        <f t="shared" si="7"/>
        <v>18.135339809811285</v>
      </c>
      <c r="P21" s="24">
        <f t="shared" si="8"/>
        <v>21573.757034038255</v>
      </c>
      <c r="Q21" s="24">
        <f t="shared" si="8"/>
        <v>1365112.844492432</v>
      </c>
      <c r="R21" s="1"/>
      <c r="S21" s="1"/>
      <c r="T21" s="1"/>
      <c r="U21" s="3">
        <f>L21</f>
        <v>11</v>
      </c>
      <c r="V21" s="24">
        <f>B21*$Y$4^U21</f>
        <v>63664.48527934197</v>
      </c>
      <c r="W21" s="24">
        <f t="shared" si="9"/>
        <v>1503700.6339810034</v>
      </c>
      <c r="X21" s="24">
        <f>C21*$Y$4^(U21+1)</f>
        <v>14.299591676890525</v>
      </c>
      <c r="Y21" s="24">
        <f t="shared" si="10"/>
        <v>5273.9570086454241</v>
      </c>
      <c r="Z21" s="1"/>
      <c r="AA21" s="25">
        <f>N21/M21</f>
        <v>37.100574891056468</v>
      </c>
      <c r="AB21" s="1">
        <f>P21/M21/(1+$V$5)</f>
        <v>0.27253774723418556</v>
      </c>
      <c r="AC21" s="1">
        <f>(1-AB21*(1+$V$5))/$P$6</f>
        <v>37.100574891056503</v>
      </c>
      <c r="AD21" s="26">
        <f t="shared" si="15"/>
        <v>3.5527136788005009E-14</v>
      </c>
      <c r="AE21" s="1">
        <f t="shared" si="16"/>
        <v>8.2839859389497533E-2</v>
      </c>
      <c r="AF21" s="1">
        <f t="shared" si="17"/>
        <v>8.5630357220127101E-3</v>
      </c>
      <c r="AG21" s="1">
        <f t="shared" si="18"/>
        <v>22.272455912955021</v>
      </c>
      <c r="AH21" s="1">
        <f t="shared" si="19"/>
        <v>4.7193702877560924</v>
      </c>
      <c r="AI21" s="1">
        <f t="shared" si="20"/>
        <v>0.12720477517165785</v>
      </c>
    </row>
    <row r="22" spans="1:35" x14ac:dyDescent="0.45">
      <c r="A22" s="16">
        <f t="shared" si="11"/>
        <v>12</v>
      </c>
      <c r="B22" s="17">
        <f t="shared" si="12"/>
        <v>98400.999996367638</v>
      </c>
      <c r="C22" s="18">
        <f t="shared" si="0"/>
        <v>22.000003574197763</v>
      </c>
      <c r="D22" s="19">
        <v>2.23575E-4</v>
      </c>
      <c r="E22" s="20">
        <f t="shared" si="1"/>
        <v>0.99977642499999997</v>
      </c>
      <c r="F22" s="21">
        <f t="shared" si="2"/>
        <v>2.2865621020749552E-4</v>
      </c>
      <c r="G22" s="1"/>
      <c r="H22" s="22">
        <f t="shared" si="3"/>
        <v>6565964.9985306775</v>
      </c>
      <c r="I22" s="19">
        <f t="shared" si="13"/>
        <v>65.726608456957266</v>
      </c>
      <c r="J22" s="23">
        <f t="shared" si="14"/>
        <v>66.226608456957266</v>
      </c>
      <c r="K22" s="1"/>
      <c r="L22" s="3">
        <f t="shared" si="4"/>
        <v>12</v>
      </c>
      <c r="M22" s="24">
        <f t="shared" si="5"/>
        <v>77588.516967546442</v>
      </c>
      <c r="N22" s="24">
        <f t="shared" si="6"/>
        <v>2857677.6589392126</v>
      </c>
      <c r="O22" s="24">
        <f t="shared" si="7"/>
        <v>17.006718314732328</v>
      </c>
      <c r="P22" s="24">
        <f t="shared" si="8"/>
        <v>21555.621694228445</v>
      </c>
      <c r="Q22" s="24">
        <f t="shared" si="8"/>
        <v>1343539.0874583938</v>
      </c>
      <c r="R22" s="1"/>
      <c r="S22" s="1"/>
      <c r="T22" s="1"/>
      <c r="U22" s="3">
        <f>L22</f>
        <v>12</v>
      </c>
      <c r="V22" s="24">
        <f>B22*$Y$4^U22</f>
        <v>61178.016132411889</v>
      </c>
      <c r="W22" s="24">
        <f t="shared" si="9"/>
        <v>1440036.1487016615</v>
      </c>
      <c r="X22" s="24">
        <f>C22*$Y$4^(U22+1)</f>
        <v>13.146746402162748</v>
      </c>
      <c r="Y22" s="24">
        <f t="shared" si="10"/>
        <v>5259.6574169685337</v>
      </c>
      <c r="Z22" s="1"/>
      <c r="AA22" s="25">
        <f>N22/M22</f>
        <v>36.831193205233141</v>
      </c>
      <c r="AB22" s="1">
        <f>P22/M22/(1+$V$5)</f>
        <v>0.27781974107385871</v>
      </c>
      <c r="AC22" s="1">
        <f>(1-AB22*(1+$V$5))/$P$6</f>
        <v>36.83119320523317</v>
      </c>
      <c r="AD22" s="26">
        <f t="shared" si="15"/>
        <v>2.8421709430404007E-14</v>
      </c>
      <c r="AE22" s="1">
        <f t="shared" si="16"/>
        <v>8.597299731957124E-2</v>
      </c>
      <c r="AF22" s="1">
        <f t="shared" si="17"/>
        <v>8.7891887892253412E-3</v>
      </c>
      <c r="AG22" s="1">
        <f t="shared" si="18"/>
        <v>22.860680040775073</v>
      </c>
      <c r="AH22" s="1">
        <f t="shared" si="19"/>
        <v>4.781284350545894</v>
      </c>
      <c r="AI22" s="1">
        <f t="shared" si="20"/>
        <v>0.12981616761377548</v>
      </c>
    </row>
    <row r="23" spans="1:35" x14ac:dyDescent="0.45">
      <c r="A23" s="16">
        <f t="shared" si="11"/>
        <v>13</v>
      </c>
      <c r="B23" s="17">
        <f t="shared" si="12"/>
        <v>98378.99999279344</v>
      </c>
      <c r="C23" s="18">
        <f t="shared" si="0"/>
        <v>25.000002612869139</v>
      </c>
      <c r="D23" s="19">
        <v>2.5411930000000002E-4</v>
      </c>
      <c r="E23" s="20">
        <f t="shared" si="1"/>
        <v>0.99974588070000003</v>
      </c>
      <c r="F23" s="21">
        <f t="shared" si="2"/>
        <v>2.3887214847940005E-4</v>
      </c>
      <c r="G23" s="1"/>
      <c r="H23" s="22">
        <f t="shared" si="3"/>
        <v>6467563.9985343097</v>
      </c>
      <c r="I23" s="19">
        <f t="shared" si="13"/>
        <v>64.741306569573567</v>
      </c>
      <c r="J23" s="23">
        <f t="shared" si="14"/>
        <v>65.241306569573567</v>
      </c>
      <c r="K23" s="1"/>
      <c r="L23" s="3">
        <f t="shared" si="4"/>
        <v>13</v>
      </c>
      <c r="M23" s="24">
        <f t="shared" si="5"/>
        <v>76050.166779279811</v>
      </c>
      <c r="N23" s="24">
        <f t="shared" si="6"/>
        <v>2780089.1419716659</v>
      </c>
      <c r="O23" s="24">
        <f t="shared" si="7"/>
        <v>18.94687759493549</v>
      </c>
      <c r="P23" s="24">
        <f t="shared" si="8"/>
        <v>21538.614975913712</v>
      </c>
      <c r="Q23" s="24">
        <f t="shared" si="8"/>
        <v>1321983.4657641654</v>
      </c>
      <c r="R23" s="1"/>
      <c r="S23" s="1"/>
      <c r="T23" s="1"/>
      <c r="U23" s="3">
        <f>L23</f>
        <v>13</v>
      </c>
      <c r="V23" s="24">
        <f>B23*$Y$4^U23</f>
        <v>58789.25245814598</v>
      </c>
      <c r="W23" s="24">
        <f t="shared" si="9"/>
        <v>1378858.1325692497</v>
      </c>
      <c r="X23" s="24">
        <f>C23*$Y$4^(U23+1)</f>
        <v>14.359365323133037</v>
      </c>
      <c r="Y23" s="24">
        <f t="shared" si="10"/>
        <v>5246.5106705663711</v>
      </c>
      <c r="Z23" s="1"/>
      <c r="AA23" s="25">
        <f>N23/M23</f>
        <v>36.55599007481878</v>
      </c>
      <c r="AB23" s="1">
        <f>P23/M23/(1+$V$5)</f>
        <v>0.28321588088590488</v>
      </c>
      <c r="AC23" s="1">
        <f>(1-AB23*(1+$V$5))/$P$6</f>
        <v>36.555990074818823</v>
      </c>
      <c r="AD23" s="26">
        <f t="shared" si="15"/>
        <v>4.2632564145606011E-14</v>
      </c>
      <c r="AE23" s="1">
        <f t="shared" si="16"/>
        <v>8.9242683844322324E-2</v>
      </c>
      <c r="AF23" s="1">
        <f t="shared" si="17"/>
        <v>9.0314486583432663E-3</v>
      </c>
      <c r="AG23" s="1">
        <f t="shared" si="18"/>
        <v>23.490797960350797</v>
      </c>
      <c r="AH23" s="1">
        <f t="shared" si="19"/>
        <v>4.8467306465648363</v>
      </c>
      <c r="AI23" s="1">
        <f t="shared" si="20"/>
        <v>0.13258376087325446</v>
      </c>
    </row>
    <row r="24" spans="1:35" x14ac:dyDescent="0.45">
      <c r="A24" s="16">
        <f t="shared" si="11"/>
        <v>14</v>
      </c>
      <c r="B24" s="17">
        <f t="shared" si="12"/>
        <v>98353.999990180571</v>
      </c>
      <c r="C24" s="18">
        <f t="shared" si="0"/>
        <v>29.999996089405613</v>
      </c>
      <c r="D24" s="19">
        <v>3.0502060000000002E-4</v>
      </c>
      <c r="E24" s="20">
        <f t="shared" si="1"/>
        <v>0.99969497939999996</v>
      </c>
      <c r="F24" s="21">
        <f t="shared" si="2"/>
        <v>2.7960224651649054E-4</v>
      </c>
      <c r="G24" s="1"/>
      <c r="H24" s="22">
        <f t="shared" si="3"/>
        <v>6369184.9985415163</v>
      </c>
      <c r="I24" s="19">
        <f t="shared" si="13"/>
        <v>63.757762766917473</v>
      </c>
      <c r="J24" s="23">
        <f t="shared" si="14"/>
        <v>64.257762766917466</v>
      </c>
      <c r="K24" s="1"/>
      <c r="L24" s="3">
        <f t="shared" si="4"/>
        <v>14</v>
      </c>
      <c r="M24" s="24">
        <f t="shared" si="5"/>
        <v>74540.040160914679</v>
      </c>
      <c r="N24" s="24">
        <f t="shared" si="6"/>
        <v>2704038.9751923862</v>
      </c>
      <c r="O24" s="24">
        <f t="shared" si="7"/>
        <v>22.290438994026328</v>
      </c>
      <c r="P24" s="24">
        <f t="shared" si="8"/>
        <v>21519.668098318776</v>
      </c>
      <c r="Q24" s="24">
        <f t="shared" si="8"/>
        <v>1300444.8507882517</v>
      </c>
      <c r="R24" s="1"/>
      <c r="S24" s="1"/>
      <c r="T24" s="1"/>
      <c r="U24" s="3">
        <f>L24</f>
        <v>14</v>
      </c>
      <c r="V24" s="24">
        <f>B24*$Y$4^U24</f>
        <v>56492.034769765269</v>
      </c>
      <c r="W24" s="24">
        <f t="shared" si="9"/>
        <v>1320068.8801111036</v>
      </c>
      <c r="X24" s="24">
        <f>C24*$Y$4^(U24+1)</f>
        <v>16.562124510472017</v>
      </c>
      <c r="Y24" s="24">
        <f t="shared" si="10"/>
        <v>5232.1513052432383</v>
      </c>
      <c r="Z24" s="1"/>
      <c r="AA24" s="25">
        <f>N24/M24</f>
        <v>36.276328391492576</v>
      </c>
      <c r="AB24" s="1">
        <f>P24/M24/(1+$V$5)</f>
        <v>0.28869944330406583</v>
      </c>
      <c r="AC24" s="1">
        <f>(1-AB24*(1+$V$5))/$P$6</f>
        <v>36.276328391492612</v>
      </c>
      <c r="AD24" s="26">
        <f t="shared" si="15"/>
        <v>3.5527136788005009E-14</v>
      </c>
      <c r="AE24" s="1">
        <f t="shared" si="16"/>
        <v>9.2617504867137546E-2</v>
      </c>
      <c r="AF24" s="1">
        <f t="shared" si="17"/>
        <v>9.2701363030600198E-3</v>
      </c>
      <c r="AG24" s="1">
        <f t="shared" si="18"/>
        <v>24.111624524259071</v>
      </c>
      <c r="AH24" s="1">
        <f t="shared" si="19"/>
        <v>4.9103588997403307</v>
      </c>
      <c r="AI24" s="1">
        <f t="shared" si="20"/>
        <v>0.13535986461330785</v>
      </c>
    </row>
    <row r="25" spans="1:35" x14ac:dyDescent="0.45">
      <c r="A25" s="16">
        <f t="shared" si="11"/>
        <v>15</v>
      </c>
      <c r="B25" s="17">
        <f t="shared" si="12"/>
        <v>98323.999994091166</v>
      </c>
      <c r="C25" s="18">
        <f t="shared" si="0"/>
        <v>38.000003875320544</v>
      </c>
      <c r="D25" s="19">
        <v>3.8647740000000001E-4</v>
      </c>
      <c r="E25" s="20">
        <f t="shared" si="1"/>
        <v>0.99961352260000003</v>
      </c>
      <c r="F25" s="21">
        <f t="shared" si="2"/>
        <v>3.4579553297675364E-4</v>
      </c>
      <c r="G25" s="1"/>
      <c r="H25" s="22">
        <f t="shared" si="3"/>
        <v>6270830.9985513361</v>
      </c>
      <c r="I25" s="19">
        <f t="shared" si="13"/>
        <v>62.777216131648281</v>
      </c>
      <c r="J25" s="23">
        <f t="shared" si="14"/>
        <v>63.277216131648281</v>
      </c>
      <c r="K25" s="1"/>
      <c r="L25" s="3">
        <f t="shared" si="4"/>
        <v>15</v>
      </c>
      <c r="M25" s="24">
        <f t="shared" si="5"/>
        <v>73056.180307000759</v>
      </c>
      <c r="N25" s="24">
        <f t="shared" si="6"/>
        <v>2629498.9350314713</v>
      </c>
      <c r="O25" s="24">
        <f t="shared" si="7"/>
        <v>27.680943744101917</v>
      </c>
      <c r="P25" s="24">
        <f t="shared" si="8"/>
        <v>21497.377659324749</v>
      </c>
      <c r="Q25" s="24">
        <f t="shared" si="8"/>
        <v>1278925.1826899329</v>
      </c>
      <c r="R25" s="1"/>
      <c r="S25" s="1"/>
      <c r="T25" s="1"/>
      <c r="U25" s="3">
        <f>L25</f>
        <v>15</v>
      </c>
      <c r="V25" s="24">
        <f>B25*$Y$4^U25</f>
        <v>54281.818084798695</v>
      </c>
      <c r="W25" s="24">
        <f t="shared" si="9"/>
        <v>1263576.8453413383</v>
      </c>
      <c r="X25" s="24">
        <f>C25*$Y$4^(U25+1)</f>
        <v>20.164067590050252</v>
      </c>
      <c r="Y25" s="24">
        <f t="shared" si="10"/>
        <v>5215.5891807327662</v>
      </c>
      <c r="Z25" s="1"/>
      <c r="AA25" s="25">
        <f>N25/M25</f>
        <v>35.992833514996867</v>
      </c>
      <c r="AB25" s="1">
        <f>P25/M25/(1+$V$5)</f>
        <v>0.29425816637260899</v>
      </c>
      <c r="AC25" s="1">
        <f>(1-AB25*(1+$V$5))/$P$6</f>
        <v>35.99283351499691</v>
      </c>
      <c r="AD25" s="26">
        <f t="shared" si="15"/>
        <v>4.2632564145606011E-14</v>
      </c>
      <c r="AE25" s="1">
        <f t="shared" si="16"/>
        <v>9.6083538922462172E-2</v>
      </c>
      <c r="AF25" s="1">
        <f t="shared" si="17"/>
        <v>9.4956704454921409E-3</v>
      </c>
      <c r="AG25" s="1">
        <f t="shared" si="18"/>
        <v>24.698238828725017</v>
      </c>
      <c r="AH25" s="1">
        <f t="shared" si="19"/>
        <v>4.9697322693204526</v>
      </c>
      <c r="AI25" s="1">
        <f t="shared" si="20"/>
        <v>0.13807560516872758</v>
      </c>
    </row>
    <row r="26" spans="1:35" x14ac:dyDescent="0.45">
      <c r="A26" s="16">
        <f t="shared" si="11"/>
        <v>16</v>
      </c>
      <c r="B26" s="17">
        <f t="shared" si="12"/>
        <v>98285.999990215845</v>
      </c>
      <c r="C26" s="18">
        <f t="shared" si="0"/>
        <v>47.000001537118806</v>
      </c>
      <c r="D26" s="19">
        <v>4.7819630000000001E-4</v>
      </c>
      <c r="E26" s="20">
        <f t="shared" si="1"/>
        <v>0.99952180369999999</v>
      </c>
      <c r="F26" s="21">
        <f t="shared" si="2"/>
        <v>4.3241156126457947E-4</v>
      </c>
      <c r="G26" s="1"/>
      <c r="H26" s="22">
        <f t="shared" si="3"/>
        <v>6172506.9985572454</v>
      </c>
      <c r="I26" s="19">
        <f t="shared" si="13"/>
        <v>61.801487487248494</v>
      </c>
      <c r="J26" s="23">
        <f t="shared" si="14"/>
        <v>62.301487487248494</v>
      </c>
      <c r="K26" s="1"/>
      <c r="L26" s="3">
        <f t="shared" si="4"/>
        <v>16</v>
      </c>
      <c r="M26" s="24">
        <f t="shared" si="5"/>
        <v>71596.025239589959</v>
      </c>
      <c r="N26" s="24">
        <f t="shared" si="6"/>
        <v>2556442.7547244704</v>
      </c>
      <c r="O26" s="24">
        <f t="shared" si="7"/>
        <v>33.565641533604655</v>
      </c>
      <c r="P26" s="24">
        <f t="shared" si="8"/>
        <v>21469.696715580649</v>
      </c>
      <c r="Q26" s="24">
        <f t="shared" si="8"/>
        <v>1257427.8050306081</v>
      </c>
      <c r="R26" s="1"/>
      <c r="S26" s="1"/>
      <c r="T26" s="1"/>
      <c r="U26" s="3">
        <f>L26</f>
        <v>16</v>
      </c>
      <c r="V26" s="24">
        <f>B26*$Y$4^U26</f>
        <v>52153.824864357943</v>
      </c>
      <c r="W26" s="24">
        <f t="shared" si="9"/>
        <v>1209295.0272565396</v>
      </c>
      <c r="X26" s="24">
        <f>C26*$Y$4^(U26+1)</f>
        <v>23.971324568418559</v>
      </c>
      <c r="Y26" s="24">
        <f t="shared" si="10"/>
        <v>5195.4251131427163</v>
      </c>
      <c r="Z26" s="1"/>
      <c r="AA26" s="25">
        <f>N26/M26</f>
        <v>35.706489936690673</v>
      </c>
      <c r="AB26" s="1">
        <f>P26/M26/(1+$V$5)</f>
        <v>0.29987274633939731</v>
      </c>
      <c r="AC26" s="1">
        <f>(1-AB26*(1+$V$5))/$P$6</f>
        <v>35.706489936690708</v>
      </c>
      <c r="AD26" s="26">
        <f t="shared" si="15"/>
        <v>3.5527136788005009E-14</v>
      </c>
      <c r="AE26" s="1">
        <f t="shared" si="16"/>
        <v>9.9617336344074797E-2</v>
      </c>
      <c r="AF26" s="1">
        <f t="shared" si="17"/>
        <v>9.693672346942267E-3</v>
      </c>
      <c r="AG26" s="1">
        <f t="shared" si="18"/>
        <v>25.213241774396792</v>
      </c>
      <c r="AH26" s="1">
        <f t="shared" si="19"/>
        <v>5.0212788982884424</v>
      </c>
      <c r="AI26" s="1">
        <f t="shared" si="20"/>
        <v>0.14062650535494842</v>
      </c>
    </row>
    <row r="27" spans="1:35" x14ac:dyDescent="0.45">
      <c r="A27" s="16">
        <f t="shared" si="11"/>
        <v>17</v>
      </c>
      <c r="B27" s="17">
        <f t="shared" si="12"/>
        <v>98238.999988678726</v>
      </c>
      <c r="C27" s="18">
        <f t="shared" si="0"/>
        <v>56.999996799830114</v>
      </c>
      <c r="D27" s="19">
        <v>5.8021760000000005E-4</v>
      </c>
      <c r="E27" s="20">
        <f t="shared" si="1"/>
        <v>0.99941978239999996</v>
      </c>
      <c r="F27" s="21">
        <f t="shared" si="2"/>
        <v>5.2932134055178753E-4</v>
      </c>
      <c r="G27" s="1"/>
      <c r="H27" s="22">
        <f t="shared" si="3"/>
        <v>6074220.9985670298</v>
      </c>
      <c r="I27" s="19">
        <f t="shared" si="13"/>
        <v>60.831054868911899</v>
      </c>
      <c r="J27" s="23">
        <f t="shared" si="14"/>
        <v>61.331054868911899</v>
      </c>
      <c r="K27" s="1"/>
      <c r="L27" s="3">
        <f t="shared" si="4"/>
        <v>17</v>
      </c>
      <c r="M27" s="24">
        <f t="shared" si="5"/>
        <v>70158.615965907535</v>
      </c>
      <c r="N27" s="24">
        <f t="shared" si="6"/>
        <v>2484846.7294848803</v>
      </c>
      <c r="O27" s="24">
        <f t="shared" si="7"/>
        <v>39.909082132411541</v>
      </c>
      <c r="P27" s="24">
        <f t="shared" si="8"/>
        <v>21436.131074047044</v>
      </c>
      <c r="Q27" s="24">
        <f t="shared" si="8"/>
        <v>1235958.1083150276</v>
      </c>
      <c r="R27" s="1"/>
      <c r="S27" s="1"/>
      <c r="T27" s="1"/>
      <c r="U27" s="3">
        <f>L27</f>
        <v>17</v>
      </c>
      <c r="V27" s="24">
        <f>B27*$Y$4^U27</f>
        <v>50104.656957205843</v>
      </c>
      <c r="W27" s="24">
        <f t="shared" si="9"/>
        <v>1157141.2023921816</v>
      </c>
      <c r="X27" s="24">
        <f>C27*$Y$4^(U27+1)</f>
        <v>27.942718001280969</v>
      </c>
      <c r="Y27" s="24">
        <f t="shared" si="10"/>
        <v>5171.4537885742975</v>
      </c>
      <c r="Z27" s="1"/>
      <c r="AA27" s="25">
        <f>N27/M27</f>
        <v>35.417556279792521</v>
      </c>
      <c r="AB27" s="1">
        <f>P27/M27/(1+$V$5)</f>
        <v>0.30553811216092963</v>
      </c>
      <c r="AC27" s="1">
        <f>(1-AB27*(1+$V$5))/$P$6</f>
        <v>35.417556279792556</v>
      </c>
      <c r="AD27" s="26">
        <f t="shared" si="15"/>
        <v>3.5527136788005009E-14</v>
      </c>
      <c r="AE27" s="1">
        <f t="shared" si="16"/>
        <v>0.10321303652455324</v>
      </c>
      <c r="AF27" s="1">
        <f t="shared" si="17"/>
        <v>9.8594985416884245E-3</v>
      </c>
      <c r="AG27" s="1">
        <f t="shared" si="18"/>
        <v>25.644555706931548</v>
      </c>
      <c r="AH27" s="1">
        <f t="shared" si="19"/>
        <v>5.0640453895015147</v>
      </c>
      <c r="AI27" s="1">
        <f t="shared" si="20"/>
        <v>0.14298121952560586</v>
      </c>
    </row>
    <row r="28" spans="1:35" x14ac:dyDescent="0.45">
      <c r="A28" s="16">
        <f t="shared" si="11"/>
        <v>18</v>
      </c>
      <c r="B28" s="17">
        <f t="shared" si="12"/>
        <v>98181.999991878896</v>
      </c>
      <c r="C28" s="18">
        <f t="shared" si="0"/>
        <v>63.000002115790267</v>
      </c>
      <c r="D28" s="19">
        <v>6.4166549999999998E-4</v>
      </c>
      <c r="E28" s="20">
        <f t="shared" si="1"/>
        <v>0.9993583345</v>
      </c>
      <c r="F28" s="21">
        <f t="shared" si="2"/>
        <v>6.1110997395421847E-4</v>
      </c>
      <c r="G28" s="1"/>
      <c r="H28" s="22">
        <f t="shared" si="3"/>
        <v>5975981.998578351</v>
      </c>
      <c r="I28" s="19">
        <f t="shared" si="13"/>
        <v>59.866370608387008</v>
      </c>
      <c r="J28" s="23">
        <f t="shared" si="14"/>
        <v>60.366370608387008</v>
      </c>
      <c r="K28" s="1"/>
      <c r="L28" s="3">
        <f t="shared" si="4"/>
        <v>18</v>
      </c>
      <c r="M28" s="24">
        <f t="shared" si="5"/>
        <v>68743.047747188699</v>
      </c>
      <c r="N28" s="24">
        <f t="shared" si="6"/>
        <v>2414688.1135189729</v>
      </c>
      <c r="O28" s="24">
        <f t="shared" si="7"/>
        <v>43.24513931786727</v>
      </c>
      <c r="P28" s="24">
        <f t="shared" si="8"/>
        <v>21396.221991914634</v>
      </c>
      <c r="Q28" s="24">
        <f t="shared" si="8"/>
        <v>1214521.9772409806</v>
      </c>
      <c r="R28" s="1"/>
      <c r="S28" s="1"/>
      <c r="T28" s="1"/>
      <c r="U28" s="3">
        <f>L28</f>
        <v>18</v>
      </c>
      <c r="V28" s="24">
        <f>B28*$Y$4^U28</f>
        <v>48131.089343903601</v>
      </c>
      <c r="W28" s="24">
        <f t="shared" si="9"/>
        <v>1107036.5454349758</v>
      </c>
      <c r="X28" s="24">
        <f>C28*$Y$4^(U28+1)</f>
        <v>29.684793838332574</v>
      </c>
      <c r="Y28" s="24">
        <f t="shared" si="10"/>
        <v>5143.5110705730167</v>
      </c>
      <c r="Z28" s="1"/>
      <c r="AA28" s="25">
        <f>N28/M28</f>
        <v>35.126288296080432</v>
      </c>
      <c r="AB28" s="1">
        <f>P28/M28/(1+$V$5)</f>
        <v>0.31124924909646079</v>
      </c>
      <c r="AC28" s="1">
        <f>(1-AB28*(1+$V$5))/$P$6</f>
        <v>35.126288296080467</v>
      </c>
      <c r="AD28" s="26">
        <f t="shared" si="15"/>
        <v>3.5527136788005009E-14</v>
      </c>
      <c r="AE28" s="1">
        <f t="shared" si="16"/>
        <v>0.10686463033948568</v>
      </c>
      <c r="AF28" s="1">
        <f t="shared" si="17"/>
        <v>9.9885352763749852E-3</v>
      </c>
      <c r="AG28" s="1">
        <f t="shared" si="18"/>
        <v>25.980180253851291</v>
      </c>
      <c r="AH28" s="1">
        <f t="shared" si="19"/>
        <v>5.0970756570656564</v>
      </c>
      <c r="AI28" s="1">
        <f t="shared" si="20"/>
        <v>0.14510715205951361</v>
      </c>
    </row>
    <row r="29" spans="1:35" x14ac:dyDescent="0.45">
      <c r="A29" s="16">
        <f t="shared" si="11"/>
        <v>19</v>
      </c>
      <c r="B29" s="17">
        <f t="shared" si="12"/>
        <v>98118.999989763106</v>
      </c>
      <c r="C29" s="18">
        <f t="shared" si="0"/>
        <v>64.000001628126483</v>
      </c>
      <c r="D29" s="19">
        <v>6.5226919999999999E-4</v>
      </c>
      <c r="E29" s="20">
        <f t="shared" si="1"/>
        <v>0.99934773079999994</v>
      </c>
      <c r="F29" s="21">
        <f t="shared" si="2"/>
        <v>6.4717334948973611E-4</v>
      </c>
      <c r="G29" s="1"/>
      <c r="H29" s="22">
        <f t="shared" si="3"/>
        <v>5877799.9985864721</v>
      </c>
      <c r="I29" s="19">
        <f t="shared" si="13"/>
        <v>58.904809457900221</v>
      </c>
      <c r="J29" s="23">
        <f t="shared" si="14"/>
        <v>59.404809457900221</v>
      </c>
      <c r="K29" s="1"/>
      <c r="L29" s="3">
        <f t="shared" si="4"/>
        <v>19</v>
      </c>
      <c r="M29" s="24">
        <f t="shared" si="5"/>
        <v>67351.899710867132</v>
      </c>
      <c r="N29" s="24">
        <f t="shared" si="6"/>
        <v>2345945.0657717842</v>
      </c>
      <c r="O29" s="24">
        <f t="shared" si="7"/>
        <v>43.070166414598106</v>
      </c>
      <c r="P29" s="24">
        <f t="shared" si="8"/>
        <v>21352.976852596767</v>
      </c>
      <c r="Q29" s="24">
        <f t="shared" si="8"/>
        <v>1193125.755249066</v>
      </c>
      <c r="R29" s="1"/>
      <c r="S29" s="1"/>
      <c r="T29" s="1"/>
      <c r="U29" s="3">
        <f>L29</f>
        <v>19</v>
      </c>
      <c r="V29" s="24">
        <f>B29*$Y$4^U29</f>
        <v>46232.41569049807</v>
      </c>
      <c r="W29" s="24">
        <f t="shared" si="9"/>
        <v>1058905.4560910722</v>
      </c>
      <c r="X29" s="24">
        <f>C29*$Y$4^(U29+1)</f>
        <v>28.984987309217956</v>
      </c>
      <c r="Y29" s="24">
        <f t="shared" si="10"/>
        <v>5113.8262767346841</v>
      </c>
      <c r="Z29" s="1"/>
      <c r="AA29" s="25">
        <f>N29/M29</f>
        <v>34.831164018277413</v>
      </c>
      <c r="AB29" s="1">
        <f>P29/M29/(1+$V$5)</f>
        <v>0.31703599964161805</v>
      </c>
      <c r="AC29" s="1">
        <f>(1-AB29*(1+$V$5))/$P$6</f>
        <v>34.831164018277448</v>
      </c>
      <c r="AD29" s="26">
        <f t="shared" si="15"/>
        <v>3.5527136788005009E-14</v>
      </c>
      <c r="AE29" s="1">
        <f t="shared" si="16"/>
        <v>0.11061127134193216</v>
      </c>
      <c r="AF29" s="1">
        <f t="shared" si="17"/>
        <v>1.0099446273172122E-2</v>
      </c>
      <c r="AG29" s="1">
        <f t="shared" si="18"/>
        <v>26.268659756520645</v>
      </c>
      <c r="AH29" s="1">
        <f t="shared" si="19"/>
        <v>5.1252960652552204</v>
      </c>
      <c r="AI29" s="1">
        <f t="shared" si="20"/>
        <v>0.14714684994638011</v>
      </c>
    </row>
    <row r="30" spans="1:35" x14ac:dyDescent="0.45">
      <c r="A30" s="16">
        <f t="shared" si="11"/>
        <v>20</v>
      </c>
      <c r="B30" s="17">
        <f t="shared" si="12"/>
        <v>98054.99998813498</v>
      </c>
      <c r="C30" s="18">
        <f t="shared" si="0"/>
        <v>61.999999993495294</v>
      </c>
      <c r="D30" s="19">
        <v>6.3229819999999996E-4</v>
      </c>
      <c r="E30" s="20">
        <f t="shared" si="1"/>
        <v>0.99936770180000001</v>
      </c>
      <c r="F30" s="21">
        <f t="shared" si="2"/>
        <v>6.4249656640083758E-4</v>
      </c>
      <c r="G30" s="1"/>
      <c r="H30" s="22">
        <f t="shared" si="3"/>
        <v>5779680.9985967092</v>
      </c>
      <c r="I30" s="19">
        <f t="shared" si="13"/>
        <v>57.943256328551037</v>
      </c>
      <c r="J30" s="23">
        <f t="shared" si="14"/>
        <v>58.443256328551037</v>
      </c>
      <c r="K30" s="1"/>
      <c r="L30" s="3">
        <f t="shared" si="4"/>
        <v>20</v>
      </c>
      <c r="M30" s="24">
        <f t="shared" si="5"/>
        <v>65988.204059925716</v>
      </c>
      <c r="N30" s="24">
        <f t="shared" si="6"/>
        <v>2278593.1660609171</v>
      </c>
      <c r="O30" s="24">
        <f t="shared" si="7"/>
        <v>40.90610063560986</v>
      </c>
      <c r="P30" s="24">
        <f t="shared" si="8"/>
        <v>21309.90668618217</v>
      </c>
      <c r="Q30" s="24">
        <f t="shared" si="8"/>
        <v>1171772.7783964693</v>
      </c>
      <c r="R30" s="1"/>
      <c r="S30" s="1"/>
      <c r="T30" s="1"/>
      <c r="U30" s="3">
        <f>L30</f>
        <v>20</v>
      </c>
      <c r="V30" s="24">
        <f>B30*$Y$4^U30</f>
        <v>44408.169655614722</v>
      </c>
      <c r="W30" s="24">
        <f t="shared" si="9"/>
        <v>1012673.0404005742</v>
      </c>
      <c r="X30" s="24">
        <f>C30*$Y$4^(U30+1)</f>
        <v>26.988855957841874</v>
      </c>
      <c r="Y30" s="24">
        <f t="shared" si="10"/>
        <v>5084.8412894254661</v>
      </c>
      <c r="Z30" s="1"/>
      <c r="AA30" s="25">
        <f>N30/M30</f>
        <v>34.530310356554992</v>
      </c>
      <c r="AB30" s="1">
        <f>P30/M30/(1+$V$5)</f>
        <v>0.32293509104794021</v>
      </c>
      <c r="AC30" s="1">
        <f>(1-AB30*(1+$V$5))/$P$6</f>
        <v>34.530310356555013</v>
      </c>
      <c r="AD30" s="26">
        <f t="shared" si="15"/>
        <v>2.1316282072803006E-14</v>
      </c>
      <c r="AE30" s="1">
        <f t="shared" si="16"/>
        <v>0.11450238388247931</v>
      </c>
      <c r="AF30" s="1">
        <f t="shared" si="17"/>
        <v>1.0215310852337872E-2</v>
      </c>
      <c r="AG30" s="1">
        <f t="shared" si="18"/>
        <v>26.570023526930761</v>
      </c>
      <c r="AH30" s="1">
        <f t="shared" si="19"/>
        <v>5.1546118696688268</v>
      </c>
      <c r="AI30" s="1">
        <f t="shared" si="20"/>
        <v>0.14927788995937338</v>
      </c>
    </row>
    <row r="31" spans="1:35" x14ac:dyDescent="0.45">
      <c r="A31" s="16">
        <f t="shared" si="11"/>
        <v>21</v>
      </c>
      <c r="B31" s="17">
        <f t="shared" si="12"/>
        <v>97992.999988141484</v>
      </c>
      <c r="C31" s="18">
        <f t="shared" si="0"/>
        <v>60.999995738820871</v>
      </c>
      <c r="D31" s="19">
        <v>6.2249340000000003E-4</v>
      </c>
      <c r="E31" s="20">
        <f t="shared" si="1"/>
        <v>0.99937750660000002</v>
      </c>
      <c r="F31" s="21">
        <f t="shared" si="2"/>
        <v>6.2759582698356452E-4</v>
      </c>
      <c r="G31" s="1"/>
      <c r="H31" s="22">
        <f t="shared" si="3"/>
        <v>5681625.9986085743</v>
      </c>
      <c r="I31" s="19">
        <f t="shared" si="13"/>
        <v>56.979916925659282</v>
      </c>
      <c r="J31" s="23">
        <f t="shared" si="14"/>
        <v>57.479916925659282</v>
      </c>
      <c r="K31" s="1"/>
      <c r="L31" s="3">
        <f t="shared" si="4"/>
        <v>21</v>
      </c>
      <c r="M31" s="24">
        <f t="shared" si="5"/>
        <v>64653.411605173918</v>
      </c>
      <c r="N31" s="24">
        <f t="shared" si="6"/>
        <v>2212604.9620009912</v>
      </c>
      <c r="O31" s="24">
        <f t="shared" si="7"/>
        <v>39.457178442848985</v>
      </c>
      <c r="P31" s="24">
        <f t="shared" si="8"/>
        <v>21269.000585546561</v>
      </c>
      <c r="Q31" s="24">
        <f t="shared" si="8"/>
        <v>1150462.8717102872</v>
      </c>
      <c r="R31" s="1"/>
      <c r="S31" s="1"/>
      <c r="T31" s="1"/>
      <c r="U31" s="3">
        <f>L31</f>
        <v>21</v>
      </c>
      <c r="V31" s="24">
        <f>B31*$Y$4^U31</f>
        <v>42656.757448939046</v>
      </c>
      <c r="W31" s="24">
        <f t="shared" si="9"/>
        <v>968264.87074495945</v>
      </c>
      <c r="X31" s="24">
        <f>C31*$Y$4^(U31+1)</f>
        <v>25.522443269287365</v>
      </c>
      <c r="Y31" s="24">
        <f t="shared" si="10"/>
        <v>5057.852433467624</v>
      </c>
      <c r="Z31" s="1"/>
      <c r="AA31" s="25">
        <f>N31/M31</f>
        <v>34.222555423880003</v>
      </c>
      <c r="AB31" s="1">
        <f>P31/M31/(1+$V$5)</f>
        <v>0.32896950149254767</v>
      </c>
      <c r="AC31" s="1">
        <f>(1-AB31*(1+$V$5))/$P$6</f>
        <v>34.222555423880038</v>
      </c>
      <c r="AD31" s="26">
        <f t="shared" si="15"/>
        <v>3.5527136788005009E-14</v>
      </c>
      <c r="AE31" s="1">
        <f t="shared" si="16"/>
        <v>0.11857095419223954</v>
      </c>
      <c r="AF31" s="1">
        <f t="shared" si="17"/>
        <v>1.0350021279984217E-2</v>
      </c>
      <c r="AG31" s="1">
        <f t="shared" si="18"/>
        <v>26.920405349238901</v>
      </c>
      <c r="AH31" s="1">
        <f t="shared" si="19"/>
        <v>5.1884877709443336</v>
      </c>
      <c r="AI31" s="1">
        <f t="shared" si="20"/>
        <v>0.1516101795052944</v>
      </c>
    </row>
    <row r="32" spans="1:35" x14ac:dyDescent="0.45">
      <c r="A32" s="16">
        <f t="shared" si="11"/>
        <v>22</v>
      </c>
      <c r="B32" s="17">
        <f t="shared" si="12"/>
        <v>97931.999992402663</v>
      </c>
      <c r="C32" s="18">
        <f t="shared" si="0"/>
        <v>58.999995197023964</v>
      </c>
      <c r="D32" s="19">
        <v>6.024588E-4</v>
      </c>
      <c r="E32" s="20">
        <f t="shared" si="1"/>
        <v>0.99939754120000002</v>
      </c>
      <c r="F32" s="21">
        <f t="shared" si="2"/>
        <v>6.1266996969914914E-4</v>
      </c>
      <c r="G32" s="1"/>
      <c r="H32" s="22">
        <f t="shared" si="3"/>
        <v>5583632.9986204328</v>
      </c>
      <c r="I32" s="19">
        <f t="shared" si="13"/>
        <v>56.01540864123676</v>
      </c>
      <c r="J32" s="23">
        <f t="shared" si="14"/>
        <v>56.51540864123676</v>
      </c>
      <c r="K32" s="1"/>
      <c r="L32" s="3">
        <f t="shared" si="4"/>
        <v>22</v>
      </c>
      <c r="M32" s="24">
        <f t="shared" si="5"/>
        <v>63346.240473688449</v>
      </c>
      <c r="N32" s="24">
        <f t="shared" si="6"/>
        <v>2147951.5503958175</v>
      </c>
      <c r="O32" s="24">
        <f t="shared" si="7"/>
        <v>37.415196098323968</v>
      </c>
      <c r="P32" s="24">
        <f t="shared" si="8"/>
        <v>21229.543407103713</v>
      </c>
      <c r="Q32" s="24">
        <f t="shared" si="8"/>
        <v>1129193.8711247407</v>
      </c>
      <c r="R32" s="1"/>
      <c r="S32" s="1"/>
      <c r="T32" s="1"/>
      <c r="U32" s="3">
        <f>L32</f>
        <v>22</v>
      </c>
      <c r="V32" s="24">
        <f>B32*$Y$4^U32</f>
        <v>40974.821125491806</v>
      </c>
      <c r="W32" s="24">
        <f t="shared" si="9"/>
        <v>925608.11329602043</v>
      </c>
      <c r="X32" s="24">
        <f>C32*$Y$4^(U32+1)</f>
        <v>23.727068017569085</v>
      </c>
      <c r="Y32" s="24">
        <f t="shared" si="10"/>
        <v>5032.3299901983364</v>
      </c>
      <c r="Z32" s="1"/>
      <c r="AA32" s="25">
        <f>N32/M32</f>
        <v>33.908114109597278</v>
      </c>
      <c r="AB32" s="1">
        <f>P32/M32/(1+$V$5)</f>
        <v>0.33513501745887564</v>
      </c>
      <c r="AC32" s="1">
        <f>(1-AB32*(1+$V$5))/$P$6</f>
        <v>33.908114109597314</v>
      </c>
      <c r="AD32" s="26">
        <f t="shared" si="15"/>
        <v>3.5527136788005009E-14</v>
      </c>
      <c r="AE32" s="1">
        <f t="shared" si="16"/>
        <v>0.12281517897994082</v>
      </c>
      <c r="AF32" s="1">
        <f t="shared" si="17"/>
        <v>1.0499699052779934E-2</v>
      </c>
      <c r="AG32" s="1">
        <f t="shared" si="18"/>
        <v>27.309717236280562</v>
      </c>
      <c r="AH32" s="1">
        <f t="shared" si="19"/>
        <v>5.2258699980271768</v>
      </c>
      <c r="AI32" s="1">
        <f t="shared" si="20"/>
        <v>0.15411856823225856</v>
      </c>
    </row>
    <row r="33" spans="1:35" x14ac:dyDescent="0.45">
      <c r="A33" s="16">
        <f t="shared" si="11"/>
        <v>23</v>
      </c>
      <c r="B33" s="17">
        <f t="shared" si="12"/>
        <v>97872.999997205639</v>
      </c>
      <c r="C33" s="18">
        <f t="shared" si="0"/>
        <v>57.999999801439117</v>
      </c>
      <c r="D33" s="19">
        <v>5.9260469999999996E-4</v>
      </c>
      <c r="E33" s="20">
        <f t="shared" si="1"/>
        <v>0.9994073953</v>
      </c>
      <c r="F33" s="21">
        <f t="shared" si="2"/>
        <v>5.9771333770193785E-4</v>
      </c>
      <c r="G33" s="1"/>
      <c r="H33" s="22">
        <f t="shared" si="3"/>
        <v>5485700.9986280305</v>
      </c>
      <c r="I33" s="19">
        <f t="shared" si="13"/>
        <v>55.049175960526924</v>
      </c>
      <c r="J33" s="23">
        <f t="shared" si="14"/>
        <v>55.549175960526924</v>
      </c>
      <c r="K33" s="1"/>
      <c r="L33" s="3">
        <f t="shared" si="4"/>
        <v>23</v>
      </c>
      <c r="M33" s="24">
        <f t="shared" si="5"/>
        <v>62066.742131047205</v>
      </c>
      <c r="N33" s="24">
        <f t="shared" si="6"/>
        <v>2084605.3099221289</v>
      </c>
      <c r="O33" s="24">
        <f t="shared" si="7"/>
        <v>36.059846177003394</v>
      </c>
      <c r="P33" s="24">
        <f t="shared" si="8"/>
        <v>21192.128211005387</v>
      </c>
      <c r="Q33" s="24">
        <f t="shared" si="8"/>
        <v>1107964.3277176369</v>
      </c>
      <c r="R33" s="1"/>
      <c r="S33" s="1"/>
      <c r="T33" s="1"/>
      <c r="U33" s="3">
        <f>L33</f>
        <v>23</v>
      </c>
      <c r="V33" s="24">
        <f>B33*$Y$4^U33</f>
        <v>39359.991814615838</v>
      </c>
      <c r="W33" s="24">
        <f t="shared" si="9"/>
        <v>884633.29217052867</v>
      </c>
      <c r="X33" s="24">
        <f>C33*$Y$4^(U33+1)</f>
        <v>22.419181220012391</v>
      </c>
      <c r="Y33" s="24">
        <f t="shared" si="10"/>
        <v>5008.6029221807676</v>
      </c>
      <c r="Z33" s="1"/>
      <c r="AA33" s="25">
        <f>N33/M33</f>
        <v>33.58651088083068</v>
      </c>
      <c r="AB33" s="1">
        <f>P33/M33/(1+$V$5)</f>
        <v>0.34144096312096589</v>
      </c>
      <c r="AC33" s="1">
        <f>(1-AB33*(1+$V$5))/$P$6</f>
        <v>33.586510880830716</v>
      </c>
      <c r="AD33" s="26">
        <f t="shared" si="15"/>
        <v>3.5527136788005009E-14</v>
      </c>
      <c r="AE33" s="1">
        <f t="shared" si="16"/>
        <v>0.12725111696595642</v>
      </c>
      <c r="AF33" s="1">
        <f t="shared" si="17"/>
        <v>1.066918566898363E-2</v>
      </c>
      <c r="AG33" s="1">
        <f t="shared" si="18"/>
        <v>27.750551925026375</v>
      </c>
      <c r="AH33" s="1">
        <f t="shared" si="19"/>
        <v>5.2678792625710749</v>
      </c>
      <c r="AI33" s="1">
        <f t="shared" si="20"/>
        <v>0.15684508823385071</v>
      </c>
    </row>
    <row r="34" spans="1:35" x14ac:dyDescent="0.45">
      <c r="A34" s="16">
        <f t="shared" si="11"/>
        <v>24</v>
      </c>
      <c r="B34" s="17">
        <f t="shared" si="12"/>
        <v>97814.9999974042</v>
      </c>
      <c r="C34" s="18">
        <f t="shared" si="0"/>
        <v>60.00000466190977</v>
      </c>
      <c r="D34" s="19">
        <v>6.1340289999999996E-4</v>
      </c>
      <c r="E34" s="20">
        <f t="shared" si="1"/>
        <v>0.9993865971</v>
      </c>
      <c r="F34" s="21">
        <f t="shared" si="2"/>
        <v>6.031794942824738E-4</v>
      </c>
      <c r="G34" s="1"/>
      <c r="H34" s="22">
        <f t="shared" si="3"/>
        <v>5387827.9986308245</v>
      </c>
      <c r="I34" s="19">
        <f t="shared" si="13"/>
        <v>54.081817704583202</v>
      </c>
      <c r="J34" s="23">
        <f t="shared" si="14"/>
        <v>54.581817704583202</v>
      </c>
      <c r="K34" s="1"/>
      <c r="L34" s="3">
        <f t="shared" si="4"/>
        <v>24</v>
      </c>
      <c r="M34" s="24">
        <f t="shared" si="5"/>
        <v>60813.687341124183</v>
      </c>
      <c r="N34" s="24">
        <f t="shared" si="6"/>
        <v>2022538.5677910817</v>
      </c>
      <c r="O34" s="24">
        <f t="shared" si="7"/>
        <v>36.571855073274634</v>
      </c>
      <c r="P34" s="24">
        <f t="shared" si="8"/>
        <v>21156.068364828385</v>
      </c>
      <c r="Q34" s="24">
        <f t="shared" si="8"/>
        <v>1086772.1995066316</v>
      </c>
      <c r="R34" s="1"/>
      <c r="S34" s="1"/>
      <c r="T34" s="1"/>
      <c r="U34" s="3">
        <f>L34</f>
        <v>24</v>
      </c>
      <c r="V34" s="24">
        <f>B34*$Y$4^U34</f>
        <v>37809.176180771377</v>
      </c>
      <c r="W34" s="24">
        <f t="shared" si="9"/>
        <v>845273.30035591288</v>
      </c>
      <c r="X34" s="24">
        <f>C34*$Y$4^(U34+1)</f>
        <v>22.291674659647125</v>
      </c>
      <c r="Y34" s="24">
        <f t="shared" si="10"/>
        <v>4986.1837409607551</v>
      </c>
      <c r="Z34" s="1"/>
      <c r="AA34" s="25">
        <f>N34/M34</f>
        <v>33.257949915879806</v>
      </c>
      <c r="AB34" s="1">
        <f>P34/M34/(1+$V$5)</f>
        <v>0.34788333498274765</v>
      </c>
      <c r="AC34" s="1">
        <f>(1-AB34*(1+$V$5))/$P$6</f>
        <v>33.257949915879841</v>
      </c>
      <c r="AD34" s="26">
        <f t="shared" si="15"/>
        <v>3.5527136788005009E-14</v>
      </c>
      <c r="AE34" s="1">
        <f t="shared" si="16"/>
        <v>0.13187760868211088</v>
      </c>
      <c r="AF34" s="1">
        <f t="shared" si="17"/>
        <v>1.0854793923392267E-2</v>
      </c>
      <c r="AG34" s="1">
        <f t="shared" si="18"/>
        <v>28.233318994743236</v>
      </c>
      <c r="AH34" s="1">
        <f t="shared" si="19"/>
        <v>5.3135034576767932</v>
      </c>
      <c r="AI34" s="1">
        <f t="shared" si="20"/>
        <v>0.15976641588301069</v>
      </c>
    </row>
    <row r="35" spans="1:35" x14ac:dyDescent="0.45">
      <c r="A35" s="16">
        <f t="shared" si="11"/>
        <v>25</v>
      </c>
      <c r="B35" s="17">
        <f t="shared" si="12"/>
        <v>97754.99999274229</v>
      </c>
      <c r="C35" s="18">
        <f t="shared" si="0"/>
        <v>59.000000919113518</v>
      </c>
      <c r="D35" s="19">
        <v>6.0354970000000001E-4</v>
      </c>
      <c r="E35" s="20">
        <f t="shared" si="1"/>
        <v>0.99939645030000002</v>
      </c>
      <c r="F35" s="21">
        <f t="shared" si="2"/>
        <v>6.0866454703011768E-4</v>
      </c>
      <c r="G35" s="1"/>
      <c r="H35" s="22">
        <f t="shared" si="3"/>
        <v>5290012.9986334201</v>
      </c>
      <c r="I35" s="19">
        <f t="shared" si="13"/>
        <v>53.1150120098836</v>
      </c>
      <c r="J35" s="23">
        <f t="shared" si="14"/>
        <v>53.6150120098836</v>
      </c>
      <c r="K35" s="1"/>
      <c r="L35" s="3">
        <f t="shared" si="4"/>
        <v>25</v>
      </c>
      <c r="M35" s="24">
        <f t="shared" si="5"/>
        <v>59584.690244068079</v>
      </c>
      <c r="N35" s="24">
        <f t="shared" si="6"/>
        <v>1961724.8804499574</v>
      </c>
      <c r="O35" s="24">
        <f t="shared" si="7"/>
        <v>35.257178354310291</v>
      </c>
      <c r="P35" s="24">
        <f t="shared" si="8"/>
        <v>21119.49650975511</v>
      </c>
      <c r="Q35" s="24">
        <f t="shared" si="8"/>
        <v>1065616.1311418032</v>
      </c>
      <c r="R35" s="1"/>
      <c r="S35" s="1"/>
      <c r="T35" s="1"/>
      <c r="U35" s="3">
        <f>L35</f>
        <v>25</v>
      </c>
      <c r="V35" s="24">
        <f>B35*$Y$4^U35</f>
        <v>36318.708114624635</v>
      </c>
      <c r="W35" s="24">
        <f t="shared" si="9"/>
        <v>807464.12417514157</v>
      </c>
      <c r="X35" s="24">
        <f>C35*$Y$4^(U35+1)</f>
        <v>21.068959426150521</v>
      </c>
      <c r="Y35" s="24">
        <f t="shared" si="10"/>
        <v>4963.8920663011077</v>
      </c>
      <c r="Z35" s="1"/>
      <c r="AA35" s="25">
        <f>N35/M35</f>
        <v>32.923304164449455</v>
      </c>
      <c r="AB35" s="1">
        <f>P35/M35/(1+$V$5)</f>
        <v>0.35444501638334269</v>
      </c>
      <c r="AC35" s="1">
        <f>(1-AB35*(1+$V$5))/$P$6</f>
        <v>32.923304164449497</v>
      </c>
      <c r="AD35" s="26">
        <f t="shared" si="15"/>
        <v>4.2632564145606011E-14</v>
      </c>
      <c r="AE35" s="1">
        <f t="shared" si="16"/>
        <v>0.13667589856540829</v>
      </c>
      <c r="AF35" s="1">
        <f t="shared" si="17"/>
        <v>1.1044628926420219E-2</v>
      </c>
      <c r="AG35" s="1">
        <f t="shared" si="18"/>
        <v>28.727079837618941</v>
      </c>
      <c r="AH35" s="1">
        <f t="shared" si="19"/>
        <v>5.3597649050698992</v>
      </c>
      <c r="AI35" s="1">
        <f t="shared" si="20"/>
        <v>0.16279547393840765</v>
      </c>
    </row>
    <row r="36" spans="1:35" x14ac:dyDescent="0.45">
      <c r="A36" s="16">
        <f t="shared" si="11"/>
        <v>26</v>
      </c>
      <c r="B36" s="17">
        <f t="shared" si="12"/>
        <v>97695.999991823177</v>
      </c>
      <c r="C36" s="18">
        <f t="shared" si="0"/>
        <v>59.999998394981958</v>
      </c>
      <c r="D36" s="19">
        <v>6.1415000000000005E-4</v>
      </c>
      <c r="E36" s="20">
        <f t="shared" si="1"/>
        <v>0.99938585000000002</v>
      </c>
      <c r="F36" s="21">
        <f t="shared" si="2"/>
        <v>6.0903209611476092E-4</v>
      </c>
      <c r="G36" s="1"/>
      <c r="H36" s="22">
        <f t="shared" si="3"/>
        <v>5192257.9986406779</v>
      </c>
      <c r="I36" s="19">
        <f t="shared" si="13"/>
        <v>52.147088919456806</v>
      </c>
      <c r="J36" s="23">
        <f t="shared" si="14"/>
        <v>52.647088919456806</v>
      </c>
      <c r="K36" s="1"/>
      <c r="L36" s="3">
        <f t="shared" si="4"/>
        <v>26</v>
      </c>
      <c r="M36" s="24">
        <f t="shared" si="5"/>
        <v>58381.105806026157</v>
      </c>
      <c r="N36" s="24">
        <f t="shared" si="6"/>
        <v>1902140.1902058893</v>
      </c>
      <c r="O36" s="24">
        <f t="shared" si="7"/>
        <v>35.151721696836468</v>
      </c>
      <c r="P36" s="24">
        <f t="shared" si="8"/>
        <v>21084.2393314008</v>
      </c>
      <c r="Q36" s="24">
        <f t="shared" si="8"/>
        <v>1044496.6346320481</v>
      </c>
      <c r="R36" s="1"/>
      <c r="S36" s="1"/>
      <c r="T36" s="1"/>
      <c r="U36" s="3">
        <f>L36</f>
        <v>26</v>
      </c>
      <c r="V36" s="24">
        <f>B36*$Y$4^U36</f>
        <v>34887.339455245739</v>
      </c>
      <c r="W36" s="24">
        <f t="shared" si="9"/>
        <v>771145.41606051696</v>
      </c>
      <c r="X36" s="24">
        <f>C36*$Y$4^(U36+1)</f>
        <v>20.594059521761352</v>
      </c>
      <c r="Y36" s="24">
        <f t="shared" si="10"/>
        <v>4942.8231068749574</v>
      </c>
      <c r="Z36" s="1"/>
      <c r="AA36" s="25">
        <f>N36/M36</f>
        <v>32.581434762915173</v>
      </c>
      <c r="AB36" s="1">
        <f>P36/M36/(1+$V$5)</f>
        <v>0.3611483379820542</v>
      </c>
      <c r="AC36" s="1">
        <f>(1-AB36*(1+$V$5))/$P$6</f>
        <v>32.581434762915208</v>
      </c>
      <c r="AD36" s="26">
        <f t="shared" si="15"/>
        <v>3.5527136788005009E-14</v>
      </c>
      <c r="AE36" s="1">
        <f t="shared" si="16"/>
        <v>0.1416795658269018</v>
      </c>
      <c r="AF36" s="1">
        <f t="shared" si="17"/>
        <v>1.1251443799701749E-2</v>
      </c>
      <c r="AG36" s="1">
        <f t="shared" si="18"/>
        <v>29.265005323024198</v>
      </c>
      <c r="AH36" s="1">
        <f t="shared" si="19"/>
        <v>5.4097139779311991</v>
      </c>
      <c r="AI36" s="1">
        <f t="shared" si="20"/>
        <v>0.16603670210645977</v>
      </c>
    </row>
    <row r="37" spans="1:35" x14ac:dyDescent="0.45">
      <c r="A37" s="16">
        <f t="shared" si="11"/>
        <v>27</v>
      </c>
      <c r="B37" s="17">
        <f t="shared" si="12"/>
        <v>97635.999993428195</v>
      </c>
      <c r="C37" s="18">
        <f t="shared" si="0"/>
        <v>61.000004661502317</v>
      </c>
      <c r="D37" s="19">
        <v>6.2476960000000005E-4</v>
      </c>
      <c r="E37" s="20">
        <f t="shared" si="1"/>
        <v>0.99937523039999998</v>
      </c>
      <c r="F37" s="21">
        <f t="shared" si="2"/>
        <v>6.1964850600510412E-4</v>
      </c>
      <c r="G37" s="1"/>
      <c r="H37" s="22">
        <f t="shared" si="3"/>
        <v>5094561.9986488549</v>
      </c>
      <c r="I37" s="19">
        <f t="shared" si="13"/>
        <v>51.17913473505434</v>
      </c>
      <c r="J37" s="23">
        <f t="shared" si="14"/>
        <v>51.67913473505434</v>
      </c>
      <c r="K37" s="1"/>
      <c r="L37" s="3">
        <f t="shared" si="4"/>
        <v>27</v>
      </c>
      <c r="M37" s="24">
        <f t="shared" si="5"/>
        <v>57201.226519505268</v>
      </c>
      <c r="N37" s="24">
        <f t="shared" si="6"/>
        <v>1843759.0843998631</v>
      </c>
      <c r="O37" s="24">
        <f t="shared" si="7"/>
        <v>35.036850404024996</v>
      </c>
      <c r="P37" s="24">
        <f t="shared" si="8"/>
        <v>21049.087609703965</v>
      </c>
      <c r="Q37" s="24">
        <f t="shared" si="8"/>
        <v>1023412.3953006472</v>
      </c>
      <c r="R37" s="1"/>
      <c r="S37" s="1"/>
      <c r="T37" s="1"/>
      <c r="U37" s="3">
        <f>L37</f>
        <v>27</v>
      </c>
      <c r="V37" s="24">
        <f>B37*$Y$4^U37</f>
        <v>33512.027485312668</v>
      </c>
      <c r="W37" s="24">
        <f t="shared" si="9"/>
        <v>736258.0766052712</v>
      </c>
      <c r="X37" s="24">
        <f>C37*$Y$4^(U37+1)</f>
        <v>20.124275285650334</v>
      </c>
      <c r="Y37" s="24">
        <f t="shared" si="10"/>
        <v>4922.2290473531957</v>
      </c>
      <c r="Z37" s="1"/>
      <c r="AA37" s="25">
        <f>N37/M37</f>
        <v>32.232859268693346</v>
      </c>
      <c r="AB37" s="1">
        <f>P37/M37/(1+$V$5)</f>
        <v>0.36798315159424694</v>
      </c>
      <c r="AC37" s="1">
        <f>(1-AB37*(1+$V$5))/$P$6</f>
        <v>32.232859268693382</v>
      </c>
      <c r="AD37" s="26">
        <f t="shared" si="15"/>
        <v>3.5527136788005009E-14</v>
      </c>
      <c r="AE37" s="1">
        <f t="shared" si="16"/>
        <v>0.14687947631668849</v>
      </c>
      <c r="AF37" s="1">
        <f t="shared" si="17"/>
        <v>1.1467876459453963E-2</v>
      </c>
      <c r="AG37" s="1">
        <f t="shared" si="18"/>
        <v>29.827946671039705</v>
      </c>
      <c r="AH37" s="1">
        <f t="shared" si="19"/>
        <v>5.4614967427473307</v>
      </c>
      <c r="AI37" s="1">
        <f t="shared" si="20"/>
        <v>0.16943879217230637</v>
      </c>
    </row>
    <row r="38" spans="1:35" x14ac:dyDescent="0.45">
      <c r="A38" s="16">
        <f t="shared" si="11"/>
        <v>28</v>
      </c>
      <c r="B38" s="17">
        <f t="shared" si="12"/>
        <v>97574.999988766693</v>
      </c>
      <c r="C38" s="18">
        <f t="shared" si="0"/>
        <v>66.00000320241088</v>
      </c>
      <c r="D38" s="19">
        <v>6.7640280000000005E-4</v>
      </c>
      <c r="E38" s="20">
        <f t="shared" si="1"/>
        <v>0.99932359719999997</v>
      </c>
      <c r="F38" s="21">
        <f t="shared" si="2"/>
        <v>6.5078149053822215E-4</v>
      </c>
      <c r="G38" s="1"/>
      <c r="H38" s="22">
        <f t="shared" si="3"/>
        <v>4996925.9986554263</v>
      </c>
      <c r="I38" s="19">
        <f t="shared" si="13"/>
        <v>50.211129892192645</v>
      </c>
      <c r="J38" s="23">
        <f t="shared" si="14"/>
        <v>50.711129892192645</v>
      </c>
      <c r="K38" s="1"/>
      <c r="L38" s="3">
        <f t="shared" si="4"/>
        <v>28</v>
      </c>
      <c r="M38" s="24">
        <f t="shared" si="5"/>
        <v>56044.596992248204</v>
      </c>
      <c r="N38" s="24">
        <f t="shared" si="6"/>
        <v>1786557.8578803579</v>
      </c>
      <c r="O38" s="24">
        <f t="shared" si="7"/>
        <v>37.1654140494446</v>
      </c>
      <c r="P38" s="24">
        <f t="shared" si="8"/>
        <v>21014.050759299942</v>
      </c>
      <c r="Q38" s="24">
        <f t="shared" si="8"/>
        <v>1002363.3076909432</v>
      </c>
      <c r="R38" s="1"/>
      <c r="S38" s="1"/>
      <c r="T38" s="1"/>
      <c r="U38" s="3">
        <f>L38</f>
        <v>28</v>
      </c>
      <c r="V38" s="24">
        <f>B38*$Y$4^U38</f>
        <v>32190.590339586193</v>
      </c>
      <c r="W38" s="24">
        <f t="shared" si="9"/>
        <v>702746.04911995854</v>
      </c>
      <c r="X38" s="24">
        <f>C38*$Y$4^(U38+1)</f>
        <v>20.928302037055037</v>
      </c>
      <c r="Y38" s="24">
        <f t="shared" si="10"/>
        <v>4902.1047720675451</v>
      </c>
      <c r="Z38" s="1"/>
      <c r="AA38" s="25">
        <f>N38/M38</f>
        <v>31.877432504822281</v>
      </c>
      <c r="AB38" s="1">
        <f>P38/M38/(1+$V$5)</f>
        <v>0.37495230382701289</v>
      </c>
      <c r="AC38" s="1">
        <f>(1-AB38*(1+$V$5))/$P$6</f>
        <v>31.877432504822316</v>
      </c>
      <c r="AD38" s="26">
        <f t="shared" si="15"/>
        <v>3.5527136788005009E-14</v>
      </c>
      <c r="AE38" s="1">
        <f t="shared" si="16"/>
        <v>0.15228377983609731</v>
      </c>
      <c r="AF38" s="1">
        <f t="shared" si="17"/>
        <v>1.1694549690912714E-2</v>
      </c>
      <c r="AG38" s="1">
        <f t="shared" si="18"/>
        <v>30.417523746063917</v>
      </c>
      <c r="AH38" s="1">
        <f t="shared" si="19"/>
        <v>5.5152084045903393</v>
      </c>
      <c r="AI38" s="1">
        <f t="shared" si="20"/>
        <v>0.17301294273797058</v>
      </c>
    </row>
    <row r="39" spans="1:35" x14ac:dyDescent="0.45">
      <c r="A39" s="16">
        <f t="shared" si="11"/>
        <v>29</v>
      </c>
      <c r="B39" s="17">
        <f t="shared" si="12"/>
        <v>97508.999985564282</v>
      </c>
      <c r="C39" s="18">
        <f t="shared" si="0"/>
        <v>70.000004682136932</v>
      </c>
      <c r="D39" s="19">
        <v>7.1788250000000004E-4</v>
      </c>
      <c r="E39" s="20">
        <f t="shared" si="1"/>
        <v>0.99928211749999996</v>
      </c>
      <c r="F39" s="21">
        <f t="shared" si="2"/>
        <v>6.973715652128621E-4</v>
      </c>
      <c r="G39" s="1"/>
      <c r="H39" s="22">
        <f t="shared" si="3"/>
        <v>4899350.9986666599</v>
      </c>
      <c r="I39" s="19">
        <f t="shared" si="13"/>
        <v>49.24511582922586</v>
      </c>
      <c r="J39" s="23">
        <f t="shared" si="14"/>
        <v>49.74511582922586</v>
      </c>
      <c r="K39" s="1"/>
      <c r="L39" s="3">
        <f t="shared" si="4"/>
        <v>29</v>
      </c>
      <c r="M39" s="24">
        <f t="shared" si="5"/>
        <v>54908.517911684074</v>
      </c>
      <c r="N39" s="24">
        <f t="shared" si="6"/>
        <v>1730513.2608881097</v>
      </c>
      <c r="O39" s="24">
        <f t="shared" si="7"/>
        <v>38.644964813465279</v>
      </c>
      <c r="P39" s="24">
        <f t="shared" si="8"/>
        <v>20976.885345250499</v>
      </c>
      <c r="Q39" s="24">
        <f t="shared" si="8"/>
        <v>981349.25693164335</v>
      </c>
      <c r="R39" s="1"/>
      <c r="S39" s="1"/>
      <c r="T39" s="1"/>
      <c r="U39" s="3">
        <f>L39</f>
        <v>29</v>
      </c>
      <c r="V39" s="24">
        <f>B39*$Y$4^U39</f>
        <v>30919.66218199427</v>
      </c>
      <c r="W39" s="24">
        <f t="shared" si="9"/>
        <v>670555.4587803724</v>
      </c>
      <c r="X39" s="24">
        <f>C39*$Y$4^(U39+1)</f>
        <v>21.334760079167168</v>
      </c>
      <c r="Y39" s="24">
        <f t="shared" si="10"/>
        <v>4881.1764700304902</v>
      </c>
      <c r="Z39" s="1"/>
      <c r="AA39" s="25">
        <f>N39/M39</f>
        <v>31.516298867718501</v>
      </c>
      <c r="AB39" s="1">
        <f>P39/M39/(1+$V$5)</f>
        <v>0.38203335553493045</v>
      </c>
      <c r="AC39" s="1">
        <f>(1-AB39*(1+$V$5))/$P$6</f>
        <v>31.516298867718518</v>
      </c>
      <c r="AD39" s="26">
        <f t="shared" si="15"/>
        <v>1.7763568394002505E-14</v>
      </c>
      <c r="AE39" s="1">
        <f t="shared" si="16"/>
        <v>0.15786642303204046</v>
      </c>
      <c r="AF39" s="1">
        <f t="shared" si="17"/>
        <v>1.1916938290761875E-2</v>
      </c>
      <c r="AG39" s="1">
        <f t="shared" si="18"/>
        <v>30.995956494271582</v>
      </c>
      <c r="AH39" s="1">
        <f t="shared" si="19"/>
        <v>5.5674012334545804</v>
      </c>
      <c r="AI39" s="1">
        <f t="shared" si="20"/>
        <v>0.17665149251256643</v>
      </c>
    </row>
    <row r="40" spans="1:35" x14ac:dyDescent="0.45">
      <c r="A40" s="16">
        <f t="shared" si="11"/>
        <v>30</v>
      </c>
      <c r="B40" s="17">
        <f t="shared" si="12"/>
        <v>97438.999980882145</v>
      </c>
      <c r="C40" s="18">
        <f t="shared" si="0"/>
        <v>71.999996134065441</v>
      </c>
      <c r="D40" s="19">
        <v>7.389238E-4</v>
      </c>
      <c r="E40" s="20">
        <f t="shared" si="1"/>
        <v>0.99926107620000004</v>
      </c>
      <c r="F40" s="21">
        <f t="shared" si="2"/>
        <v>7.2866101275702365E-4</v>
      </c>
      <c r="G40" s="1"/>
      <c r="H40" s="22">
        <f t="shared" si="3"/>
        <v>4801841.9986810954</v>
      </c>
      <c r="I40" s="19">
        <f t="shared" si="13"/>
        <v>48.280493433052811</v>
      </c>
      <c r="J40" s="23">
        <f t="shared" si="14"/>
        <v>48.780493433052811</v>
      </c>
      <c r="K40" s="1"/>
      <c r="L40" s="3">
        <f t="shared" si="4"/>
        <v>30</v>
      </c>
      <c r="M40" s="24">
        <f t="shared" si="5"/>
        <v>53793.235340759158</v>
      </c>
      <c r="N40" s="24">
        <f t="shared" si="6"/>
        <v>1675604.7429764257</v>
      </c>
      <c r="O40" s="24">
        <f t="shared" si="7"/>
        <v>38.969707717925182</v>
      </c>
      <c r="P40" s="24">
        <f t="shared" si="8"/>
        <v>20938.240380437033</v>
      </c>
      <c r="Q40" s="24">
        <f t="shared" si="8"/>
        <v>960372.37158639287</v>
      </c>
      <c r="R40" s="1"/>
      <c r="S40" s="1"/>
      <c r="T40" s="1"/>
      <c r="U40" s="3">
        <f>L40</f>
        <v>30</v>
      </c>
      <c r="V40" s="24">
        <f>B40*$Y$4^U40</f>
        <v>29697.679255678486</v>
      </c>
      <c r="W40" s="24">
        <f t="shared" si="9"/>
        <v>639635.7965983781</v>
      </c>
      <c r="X40" s="24">
        <f>C40*$Y$4^(U40+1)</f>
        <v>21.092197238355151</v>
      </c>
      <c r="Y40" s="24">
        <f t="shared" si="10"/>
        <v>4859.8417099513226</v>
      </c>
      <c r="Z40" s="1"/>
      <c r="AA40" s="25">
        <f>N40/M40</f>
        <v>31.148986157127812</v>
      </c>
      <c r="AB40" s="1">
        <f>P40/M40/(1+$V$5)</f>
        <v>0.38923556554651251</v>
      </c>
      <c r="AC40" s="1">
        <f>(1-AB40*(1+$V$5))/$P$6</f>
        <v>31.148986157127833</v>
      </c>
      <c r="AD40" s="26">
        <f t="shared" si="15"/>
        <v>2.1316282072803006E-14</v>
      </c>
      <c r="AE40" s="1">
        <f t="shared" si="16"/>
        <v>0.16364382105790551</v>
      </c>
      <c r="AF40" s="1">
        <f t="shared" si="17"/>
        <v>1.2139495571592079E-2</v>
      </c>
      <c r="AG40" s="1">
        <f t="shared" si="18"/>
        <v>31.574827981710943</v>
      </c>
      <c r="AH40" s="1">
        <f t="shared" si="19"/>
        <v>5.6191483324175513</v>
      </c>
      <c r="AI40" s="1">
        <f t="shared" si="20"/>
        <v>0.18039586598653143</v>
      </c>
    </row>
    <row r="41" spans="1:35" x14ac:dyDescent="0.45">
      <c r="A41" s="16">
        <f t="shared" si="11"/>
        <v>31</v>
      </c>
      <c r="B41" s="17">
        <f t="shared" si="12"/>
        <v>97366.999984748079</v>
      </c>
      <c r="C41" s="18">
        <f t="shared" si="0"/>
        <v>77.000004608737072</v>
      </c>
      <c r="D41" s="19">
        <v>7.9082239999999997E-4</v>
      </c>
      <c r="E41" s="20">
        <f t="shared" si="1"/>
        <v>0.99920917760000005</v>
      </c>
      <c r="F41" s="21">
        <f t="shared" si="2"/>
        <v>7.6514630606952256E-4</v>
      </c>
      <c r="G41" s="1"/>
      <c r="H41" s="22">
        <f t="shared" si="3"/>
        <v>4704402.9987002136</v>
      </c>
      <c r="I41" s="19">
        <f t="shared" si="13"/>
        <v>47.316195419773933</v>
      </c>
      <c r="J41" s="23">
        <f t="shared" si="14"/>
        <v>47.816195419773933</v>
      </c>
      <c r="K41" s="1"/>
      <c r="L41" s="3">
        <f t="shared" si="4"/>
        <v>31</v>
      </c>
      <c r="M41" s="24">
        <f t="shared" si="5"/>
        <v>52699.496312634197</v>
      </c>
      <c r="N41" s="24">
        <f t="shared" si="6"/>
        <v>1621811.5076356665</v>
      </c>
      <c r="O41" s="24">
        <f t="shared" si="7"/>
        <v>40.85876681641939</v>
      </c>
      <c r="P41" s="24">
        <f t="shared" si="8"/>
        <v>20899.270672719107</v>
      </c>
      <c r="Q41" s="24">
        <f t="shared" si="8"/>
        <v>939434.13120595587</v>
      </c>
      <c r="R41" s="27"/>
      <c r="S41" s="27"/>
      <c r="T41" s="27"/>
      <c r="U41" s="3">
        <f>L41</f>
        <v>31</v>
      </c>
      <c r="V41" s="24">
        <f>B41*$Y$4^U41</f>
        <v>28523.389978538729</v>
      </c>
      <c r="W41" s="24">
        <f t="shared" si="9"/>
        <v>609938.11734269967</v>
      </c>
      <c r="X41" s="24">
        <f>C41*$Y$4^(U41+1)</f>
        <v>21.681022413459772</v>
      </c>
      <c r="Y41" s="24">
        <f t="shared" si="10"/>
        <v>4838.7495127129678</v>
      </c>
      <c r="Z41" s="1"/>
      <c r="AA41" s="25">
        <f>N41/M41</f>
        <v>30.774706043003544</v>
      </c>
      <c r="AB41" s="1">
        <f>P41/M41/(1+$V$5)</f>
        <v>0.39657439131365491</v>
      </c>
      <c r="AC41" s="1">
        <f>(1-AB41*(1+$V$5))/$P$6</f>
        <v>30.774706043003572</v>
      </c>
      <c r="AD41" s="26">
        <f t="shared" si="15"/>
        <v>2.8421709430404007E-14</v>
      </c>
      <c r="AE41" s="1">
        <f t="shared" si="16"/>
        <v>0.16964145974071418</v>
      </c>
      <c r="AF41" s="1">
        <f t="shared" si="17"/>
        <v>1.2370211894918298E-2</v>
      </c>
      <c r="AG41" s="1">
        <f t="shared" si="18"/>
        <v>32.174921138682436</v>
      </c>
      <c r="AH41" s="1">
        <f t="shared" si="19"/>
        <v>5.672294168912825</v>
      </c>
      <c r="AI41" s="1">
        <f t="shared" si="20"/>
        <v>0.18431676198585134</v>
      </c>
    </row>
    <row r="42" spans="1:35" x14ac:dyDescent="0.45">
      <c r="A42" s="16">
        <f t="shared" si="11"/>
        <v>32</v>
      </c>
      <c r="B42" s="17">
        <f t="shared" si="12"/>
        <v>97289.999980139342</v>
      </c>
      <c r="C42" s="18">
        <f t="shared" si="0"/>
        <v>82.000000873260433</v>
      </c>
      <c r="D42" s="19">
        <v>8.4284099999999999E-4</v>
      </c>
      <c r="E42" s="20">
        <f t="shared" si="1"/>
        <v>0.99915715900000002</v>
      </c>
      <c r="F42" s="21">
        <f t="shared" si="2"/>
        <v>8.1714464752007175E-4</v>
      </c>
      <c r="G42" s="1"/>
      <c r="H42" s="22">
        <f t="shared" si="3"/>
        <v>4607035.9987154659</v>
      </c>
      <c r="I42" s="19">
        <f t="shared" si="13"/>
        <v>46.3536437419667</v>
      </c>
      <c r="J42" s="23">
        <f t="shared" si="14"/>
        <v>46.8536437419667</v>
      </c>
      <c r="K42" s="1"/>
      <c r="L42" s="3">
        <f t="shared" si="4"/>
        <v>32</v>
      </c>
      <c r="M42" s="24">
        <f t="shared" si="5"/>
        <v>51625.314088707295</v>
      </c>
      <c r="N42" s="24">
        <f t="shared" si="6"/>
        <v>1569112.0113230324</v>
      </c>
      <c r="O42" s="24">
        <f t="shared" si="7"/>
        <v>42.658756227294155</v>
      </c>
      <c r="P42" s="24">
        <f t="shared" si="8"/>
        <v>20858.411905902689</v>
      </c>
      <c r="Q42" s="24">
        <f t="shared" si="8"/>
        <v>918534.86053323676</v>
      </c>
      <c r="R42" s="1"/>
      <c r="S42" s="1"/>
      <c r="T42" s="1"/>
      <c r="U42" s="3">
        <f>L42</f>
        <v>32</v>
      </c>
      <c r="V42" s="24">
        <f>B42*$Y$4^U42</f>
        <v>27394.110960034381</v>
      </c>
      <c r="W42" s="24">
        <f t="shared" si="9"/>
        <v>581414.72736416094</v>
      </c>
      <c r="X42" s="24">
        <f>C42*$Y$4^(U42+1)</f>
        <v>22.192310530244409</v>
      </c>
      <c r="Y42" s="24">
        <f t="shared" si="10"/>
        <v>4817.0684902995081</v>
      </c>
      <c r="Z42" s="1"/>
      <c r="AA42" s="25">
        <f>N42/M42</f>
        <v>30.394236607003339</v>
      </c>
      <c r="AB42" s="1">
        <f>P42/M42/(1+$V$5)</f>
        <v>0.40403457633326695</v>
      </c>
      <c r="AC42" s="1">
        <f>(1-AB42*(1+$V$5))/$P$6</f>
        <v>30.394236607003361</v>
      </c>
      <c r="AD42" s="26">
        <f t="shared" si="15"/>
        <v>2.1316282072803006E-14</v>
      </c>
      <c r="AE42" s="1">
        <f t="shared" si="16"/>
        <v>0.17584321306601958</v>
      </c>
      <c r="AF42" s="1">
        <f t="shared" si="17"/>
        <v>1.2599274193217047E-2</v>
      </c>
      <c r="AG42" s="1">
        <f t="shared" si="18"/>
        <v>32.770712176557481</v>
      </c>
      <c r="AH42" s="1">
        <f t="shared" si="19"/>
        <v>5.7245709163707179</v>
      </c>
      <c r="AI42" s="1">
        <f t="shared" si="20"/>
        <v>0.18834396107358331</v>
      </c>
    </row>
    <row r="43" spans="1:35" x14ac:dyDescent="0.45">
      <c r="A43" s="16">
        <f t="shared" si="11"/>
        <v>33</v>
      </c>
      <c r="B43" s="17">
        <f t="shared" si="12"/>
        <v>97207.999979266082</v>
      </c>
      <c r="C43" s="18">
        <f t="shared" si="0"/>
        <v>88.000001343621989</v>
      </c>
      <c r="D43" s="19">
        <v>9.0527529999999998E-4</v>
      </c>
      <c r="E43" s="20">
        <f t="shared" si="1"/>
        <v>0.99909472470000005</v>
      </c>
      <c r="F43" s="21">
        <f t="shared" si="2"/>
        <v>8.7441364009722684E-4</v>
      </c>
      <c r="G43" s="1"/>
      <c r="H43" s="22">
        <f t="shared" si="3"/>
        <v>4509745.9987353263</v>
      </c>
      <c r="I43" s="19">
        <f t="shared" si="13"/>
        <v>45.392745449934466</v>
      </c>
      <c r="J43" s="23">
        <f t="shared" si="14"/>
        <v>45.892745449934466</v>
      </c>
      <c r="K43" s="1"/>
      <c r="L43" s="3">
        <f t="shared" si="4"/>
        <v>33</v>
      </c>
      <c r="M43" s="24">
        <f t="shared" si="5"/>
        <v>50570.394271917103</v>
      </c>
      <c r="N43" s="24">
        <f t="shared" si="6"/>
        <v>1517486.6972343251</v>
      </c>
      <c r="O43" s="24">
        <f t="shared" si="7"/>
        <v>44.882479260415515</v>
      </c>
      <c r="P43" s="24">
        <f t="shared" si="8"/>
        <v>20815.753149675395</v>
      </c>
      <c r="Q43" s="24">
        <f t="shared" si="8"/>
        <v>897676.44862733409</v>
      </c>
      <c r="R43" s="1"/>
      <c r="S43" s="1"/>
      <c r="T43" s="1"/>
      <c r="U43" s="3">
        <f>L43</f>
        <v>33</v>
      </c>
      <c r="V43" s="24">
        <f>B43*$Y$4^U43</f>
        <v>26308.171934024136</v>
      </c>
      <c r="W43" s="24">
        <f t="shared" si="9"/>
        <v>554020.61640412651</v>
      </c>
      <c r="X43" s="24">
        <f>C43*$Y$4^(U43+1)</f>
        <v>22.891328565958364</v>
      </c>
      <c r="Y43" s="24">
        <f t="shared" si="10"/>
        <v>4794.8761797692641</v>
      </c>
      <c r="Z43" s="1"/>
      <c r="AA43" s="25">
        <f>N43/M43</f>
        <v>30.007412816969477</v>
      </c>
      <c r="AB43" s="1">
        <f>P43/M43/(1+$V$5)</f>
        <v>0.41161935653000947</v>
      </c>
      <c r="AC43" s="1">
        <f>(1-AB43*(1+$V$5))/$P$6</f>
        <v>30.007412816969492</v>
      </c>
      <c r="AD43" s="26">
        <f t="shared" si="15"/>
        <v>1.4210854715202004E-14</v>
      </c>
      <c r="AE43" s="1">
        <f t="shared" si="16"/>
        <v>0.18225805243305757</v>
      </c>
      <c r="AF43" s="1">
        <f t="shared" si="17"/>
        <v>1.2827557762878528E-2</v>
      </c>
      <c r="AG43" s="1">
        <f t="shared" si="18"/>
        <v>33.364477741246994</v>
      </c>
      <c r="AH43" s="1">
        <f t="shared" si="19"/>
        <v>5.776199247017626</v>
      </c>
      <c r="AI43" s="1">
        <f t="shared" si="20"/>
        <v>0.19249241120017951</v>
      </c>
    </row>
    <row r="44" spans="1:35" x14ac:dyDescent="0.45">
      <c r="A44" s="16">
        <f t="shared" si="11"/>
        <v>34</v>
      </c>
      <c r="B44" s="17">
        <f t="shared" si="12"/>
        <v>97119.99997792246</v>
      </c>
      <c r="C44" s="18">
        <f t="shared" si="0"/>
        <v>94.999996634403942</v>
      </c>
      <c r="D44" s="19">
        <v>9.781713E-4</v>
      </c>
      <c r="E44" s="20">
        <f t="shared" si="1"/>
        <v>0.9990218287</v>
      </c>
      <c r="F44" s="21">
        <f t="shared" si="2"/>
        <v>9.4213343296759629E-4</v>
      </c>
      <c r="G44" s="1"/>
      <c r="H44" s="22">
        <f t="shared" si="3"/>
        <v>4412537.9987560604</v>
      </c>
      <c r="I44" s="19">
        <f t="shared" si="13"/>
        <v>44.433875615312282</v>
      </c>
      <c r="J44" s="23">
        <f t="shared" si="14"/>
        <v>44.933875615312282</v>
      </c>
      <c r="K44" s="1"/>
      <c r="L44" s="3">
        <f t="shared" si="4"/>
        <v>34</v>
      </c>
      <c r="M44" s="24">
        <f t="shared" si="5"/>
        <v>49533.935434383806</v>
      </c>
      <c r="N44" s="24">
        <f t="shared" si="6"/>
        <v>1466916.3029624079</v>
      </c>
      <c r="O44" s="24">
        <f t="shared" si="7"/>
        <v>47.502621586242199</v>
      </c>
      <c r="P44" s="24">
        <f t="shared" si="8"/>
        <v>20770.870670414977</v>
      </c>
      <c r="Q44" s="24">
        <f t="shared" si="8"/>
        <v>876860.69547765865</v>
      </c>
      <c r="R44" s="1"/>
      <c r="S44" s="1"/>
      <c r="T44" s="1"/>
      <c r="U44" s="3">
        <f>L44</f>
        <v>34</v>
      </c>
      <c r="V44" s="24">
        <f>B44*$Y$4^U44</f>
        <v>25263.702225859393</v>
      </c>
      <c r="W44" s="24">
        <f t="shared" si="9"/>
        <v>527712.44447010243</v>
      </c>
      <c r="X44" s="24">
        <f>C44*$Y$4^(U44+1)</f>
        <v>23.752622500078484</v>
      </c>
      <c r="Y44" s="24">
        <f t="shared" si="10"/>
        <v>4771.9848512033059</v>
      </c>
      <c r="Z44" s="1"/>
      <c r="AA44" s="25">
        <f>N44/M44</f>
        <v>29.614370231204227</v>
      </c>
      <c r="AB44" s="1">
        <f>P44/M44/(1+$V$5)</f>
        <v>0.41932607389795545</v>
      </c>
      <c r="AC44" s="1">
        <f>(1-AB44*(1+$V$5))/$P$6</f>
        <v>29.614370231204248</v>
      </c>
      <c r="AD44" s="26">
        <f t="shared" si="15"/>
        <v>2.1316282072803006E-14</v>
      </c>
      <c r="AE44" s="1">
        <f t="shared" si="16"/>
        <v>0.18888699718439536</v>
      </c>
      <c r="AF44" s="1">
        <f t="shared" si="17"/>
        <v>1.3052640933721771E-2</v>
      </c>
      <c r="AG44" s="1">
        <f t="shared" si="18"/>
        <v>33.949919068610271</v>
      </c>
      <c r="AH44" s="1">
        <f t="shared" si="19"/>
        <v>5.8266559078608946</v>
      </c>
      <c r="AI44" s="1">
        <f t="shared" si="20"/>
        <v>0.19675096456116542</v>
      </c>
    </row>
    <row r="45" spans="1:35" x14ac:dyDescent="0.45">
      <c r="A45" s="16">
        <f t="shared" si="11"/>
        <v>35</v>
      </c>
      <c r="B45" s="17">
        <f t="shared" si="12"/>
        <v>97024.999981288056</v>
      </c>
      <c r="C45" s="18">
        <f t="shared" si="0"/>
        <v>103.00000323263521</v>
      </c>
      <c r="D45" s="19">
        <v>1.0615821E-3</v>
      </c>
      <c r="E45" s="20">
        <f t="shared" si="1"/>
        <v>0.99893841790000004</v>
      </c>
      <c r="F45" s="21">
        <f t="shared" si="2"/>
        <v>1.0203555779707541E-3</v>
      </c>
      <c r="G45" s="1"/>
      <c r="H45" s="22">
        <f t="shared" si="3"/>
        <v>4315417.9987781383</v>
      </c>
      <c r="I45" s="19">
        <f t="shared" si="13"/>
        <v>43.477382113995326</v>
      </c>
      <c r="J45" s="23">
        <f t="shared" si="14"/>
        <v>43.977382113995326</v>
      </c>
      <c r="K45" s="1"/>
      <c r="L45" s="3">
        <f t="shared" si="4"/>
        <v>35</v>
      </c>
      <c r="M45" s="24">
        <f t="shared" si="5"/>
        <v>48515.179176829253</v>
      </c>
      <c r="N45" s="24">
        <f t="shared" si="6"/>
        <v>1417382.3675280241</v>
      </c>
      <c r="O45" s="24">
        <f t="shared" si="7"/>
        <v>50.492986070994512</v>
      </c>
      <c r="P45" s="24">
        <f t="shared" si="8"/>
        <v>20723.368048828735</v>
      </c>
      <c r="Q45" s="24">
        <f t="shared" si="8"/>
        <v>856089.82480724365</v>
      </c>
      <c r="R45" s="1"/>
      <c r="S45" s="1"/>
      <c r="T45" s="1"/>
      <c r="U45" s="3">
        <f>L45</f>
        <v>35</v>
      </c>
      <c r="V45" s="24">
        <f>B45*$Y$4^U45</f>
        <v>24258.929255488569</v>
      </c>
      <c r="W45" s="24">
        <f t="shared" si="9"/>
        <v>502448.7422442431</v>
      </c>
      <c r="X45" s="24">
        <f>C45*$Y$4^(U45+1)</f>
        <v>24.752830702415281</v>
      </c>
      <c r="Y45" s="24">
        <f t="shared" si="10"/>
        <v>4748.2322287032275</v>
      </c>
      <c r="Z45" s="1"/>
      <c r="AA45" s="25">
        <f>N45/M45</f>
        <v>29.215235140365369</v>
      </c>
      <c r="AB45" s="1">
        <f>P45/M45/(1+$V$5)</f>
        <v>0.42715225214969776</v>
      </c>
      <c r="AC45" s="1">
        <f>(1-AB45*(1+$V$5))/$P$6</f>
        <v>29.21523514036539</v>
      </c>
      <c r="AD45" s="26">
        <f t="shared" si="15"/>
        <v>2.1316282072803006E-14</v>
      </c>
      <c r="AE45" s="1">
        <f t="shared" si="16"/>
        <v>0.19573131932972446</v>
      </c>
      <c r="AF45" s="1">
        <f t="shared" si="17"/>
        <v>1.3272272813165481E-2</v>
      </c>
      <c r="AG45" s="1">
        <f t="shared" si="18"/>
        <v>34.521181587043358</v>
      </c>
      <c r="AH45" s="1">
        <f t="shared" si="19"/>
        <v>5.8754728819937005</v>
      </c>
      <c r="AI45" s="1">
        <f t="shared" si="20"/>
        <v>0.20110989535989821</v>
      </c>
    </row>
    <row r="46" spans="1:35" x14ac:dyDescent="0.45">
      <c r="A46" s="16">
        <f t="shared" si="11"/>
        <v>36</v>
      </c>
      <c r="B46" s="17">
        <f t="shared" si="12"/>
        <v>96921.999978055421</v>
      </c>
      <c r="C46" s="18">
        <f t="shared" si="0"/>
        <v>109.99999558550189</v>
      </c>
      <c r="D46" s="19">
        <v>1.1349331999999999E-3</v>
      </c>
      <c r="E46" s="20">
        <f t="shared" si="1"/>
        <v>0.99886506679999998</v>
      </c>
      <c r="F46" s="21">
        <f t="shared" si="2"/>
        <v>1.0988217270916998E-3</v>
      </c>
      <c r="G46" s="1"/>
      <c r="H46" s="22">
        <f t="shared" si="3"/>
        <v>4218392.9987968504</v>
      </c>
      <c r="I46" s="19">
        <f t="shared" si="13"/>
        <v>42.523585973792912</v>
      </c>
      <c r="J46" s="23">
        <f t="shared" si="14"/>
        <v>43.023585973792912</v>
      </c>
      <c r="K46" s="1"/>
      <c r="L46" s="3">
        <f t="shared" si="4"/>
        <v>36</v>
      </c>
      <c r="M46" s="24">
        <f t="shared" si="5"/>
        <v>47513.408167683177</v>
      </c>
      <c r="N46" s="24">
        <f t="shared" si="6"/>
        <v>1368867.1883511948</v>
      </c>
      <c r="O46" s="24">
        <f t="shared" si="7"/>
        <v>52.867200367312243</v>
      </c>
      <c r="P46" s="24">
        <f t="shared" si="8"/>
        <v>20672.875062757739</v>
      </c>
      <c r="Q46" s="24">
        <f t="shared" si="8"/>
        <v>835366.45675841498</v>
      </c>
      <c r="R46" s="1"/>
      <c r="S46" s="1"/>
      <c r="T46" s="1"/>
      <c r="U46" s="3">
        <f>L46</f>
        <v>36</v>
      </c>
      <c r="V46" s="24">
        <f>B46*$Y$4^U46</f>
        <v>23292.172635934039</v>
      </c>
      <c r="W46" s="24">
        <f t="shared" si="9"/>
        <v>478189.81298875454</v>
      </c>
      <c r="X46" s="24">
        <f>C46*$Y$4^(U46+1)</f>
        <v>25.408554425850504</v>
      </c>
      <c r="Y46" s="24">
        <f t="shared" si="10"/>
        <v>4723.4793980008126</v>
      </c>
      <c r="Z46" s="1"/>
      <c r="AA46" s="25">
        <f>N46/M46</f>
        <v>28.810124155274689</v>
      </c>
      <c r="AB46" s="1">
        <f>P46/M46/(1+$V$5)</f>
        <v>0.43509560479853449</v>
      </c>
      <c r="AC46" s="1">
        <f>(1-AB46*(1+$V$5))/$P$6</f>
        <v>28.810124155274718</v>
      </c>
      <c r="AD46" s="26">
        <f t="shared" si="15"/>
        <v>2.8421709430404007E-14</v>
      </c>
      <c r="AE46" s="1">
        <f t="shared" si="16"/>
        <v>0.20279256348605526</v>
      </c>
      <c r="AF46" s="1">
        <f t="shared" si="17"/>
        <v>1.3484378171052747E-2</v>
      </c>
      <c r="AG46" s="1">
        <f t="shared" si="18"/>
        <v>35.072867622908134</v>
      </c>
      <c r="AH46" s="1">
        <f t="shared" si="19"/>
        <v>5.9222350192227369</v>
      </c>
      <c r="AI46" s="1">
        <f t="shared" si="20"/>
        <v>0.20556089891540669</v>
      </c>
    </row>
    <row r="47" spans="1:35" x14ac:dyDescent="0.45">
      <c r="A47" s="16">
        <f t="shared" si="11"/>
        <v>37</v>
      </c>
      <c r="B47" s="17">
        <f t="shared" si="12"/>
        <v>96811.999982469919</v>
      </c>
      <c r="C47" s="18">
        <f t="shared" si="0"/>
        <v>121.00000379928679</v>
      </c>
      <c r="D47" s="19">
        <v>1.2498450999999999E-3</v>
      </c>
      <c r="E47" s="20">
        <f t="shared" si="1"/>
        <v>0.99875015489999996</v>
      </c>
      <c r="F47" s="21">
        <f t="shared" si="2"/>
        <v>1.193033918453377E-3</v>
      </c>
      <c r="G47" s="1"/>
      <c r="H47" s="22">
        <f t="shared" si="3"/>
        <v>4121470.9988187947</v>
      </c>
      <c r="I47" s="19">
        <f t="shared" si="13"/>
        <v>41.571902239031154</v>
      </c>
      <c r="J47" s="23">
        <f t="shared" si="14"/>
        <v>42.071902239031154</v>
      </c>
      <c r="K47" s="1"/>
      <c r="L47" s="3">
        <f t="shared" si="4"/>
        <v>37</v>
      </c>
      <c r="M47" s="24">
        <f t="shared" si="5"/>
        <v>46528.905513047561</v>
      </c>
      <c r="N47" s="24">
        <f t="shared" si="6"/>
        <v>1321353.7801835116</v>
      </c>
      <c r="O47" s="24">
        <f t="shared" si="7"/>
        <v>57.01365153318028</v>
      </c>
      <c r="P47" s="24">
        <f t="shared" si="8"/>
        <v>20620.007862390426</v>
      </c>
      <c r="Q47" s="24">
        <f t="shared" si="8"/>
        <v>814693.58169565722</v>
      </c>
      <c r="R47" s="1"/>
      <c r="S47" s="1"/>
      <c r="T47" s="1"/>
      <c r="U47" s="3">
        <f>L47</f>
        <v>37</v>
      </c>
      <c r="V47" s="24">
        <f>B47*$Y$4^U47</f>
        <v>22362.300630439626</v>
      </c>
      <c r="W47" s="24">
        <f t="shared" si="9"/>
        <v>454897.64035282051</v>
      </c>
      <c r="X47" s="24">
        <f>C47*$Y$4^(U47+1)</f>
        <v>26.864102141177529</v>
      </c>
      <c r="Y47" s="24">
        <f t="shared" si="10"/>
        <v>4698.0708435749621</v>
      </c>
      <c r="Z47" s="1"/>
      <c r="AA47" s="25">
        <f>N47/M47</f>
        <v>28.398557103669237</v>
      </c>
      <c r="AB47" s="1">
        <f>P47/M47/(1+$V$5)</f>
        <v>0.44316554698687671</v>
      </c>
      <c r="AC47" s="1">
        <f>(1-AB47*(1+$V$5))/$P$6</f>
        <v>28.398557103669262</v>
      </c>
      <c r="AD47" s="26">
        <f t="shared" si="15"/>
        <v>2.4868995751603507E-14</v>
      </c>
      <c r="AE47" s="1">
        <f t="shared" si="16"/>
        <v>0.21008888670336248</v>
      </c>
      <c r="AF47" s="1">
        <f t="shared" si="17"/>
        <v>1.369318466718486E-2</v>
      </c>
      <c r="AG47" s="1">
        <f t="shared" si="18"/>
        <v>35.615973319347759</v>
      </c>
      <c r="AH47" s="1">
        <f t="shared" si="19"/>
        <v>5.9679119731567551</v>
      </c>
      <c r="AI47" s="1">
        <f t="shared" si="20"/>
        <v>0.21014842237832115</v>
      </c>
    </row>
    <row r="48" spans="1:35" x14ac:dyDescent="0.45">
      <c r="A48" s="16">
        <f t="shared" si="11"/>
        <v>38</v>
      </c>
      <c r="B48" s="17">
        <f t="shared" si="12"/>
        <v>96690.999978670632</v>
      </c>
      <c r="C48" s="18">
        <f t="shared" si="0"/>
        <v>129.99999553941598</v>
      </c>
      <c r="D48" s="19">
        <v>1.3444891E-3</v>
      </c>
      <c r="E48" s="20">
        <f t="shared" si="1"/>
        <v>0.99865551090000004</v>
      </c>
      <c r="F48" s="21">
        <f t="shared" si="2"/>
        <v>1.2979491338080671E-3</v>
      </c>
      <c r="G48" s="1"/>
      <c r="H48" s="22">
        <f t="shared" si="3"/>
        <v>4024658.998836325</v>
      </c>
      <c r="I48" s="19">
        <f t="shared" si="13"/>
        <v>40.623925698608318</v>
      </c>
      <c r="J48" s="23">
        <f t="shared" si="14"/>
        <v>41.123925698608318</v>
      </c>
      <c r="K48" s="1"/>
      <c r="L48" s="3">
        <f t="shared" si="4"/>
        <v>38</v>
      </c>
      <c r="M48" s="24">
        <f t="shared" si="5"/>
        <v>45559.560380866387</v>
      </c>
      <c r="N48" s="24">
        <f t="shared" si="6"/>
        <v>1274824.8746704641</v>
      </c>
      <c r="O48" s="24">
        <f t="shared" si="7"/>
        <v>60.053266993003376</v>
      </c>
      <c r="P48" s="24">
        <f t="shared" si="8"/>
        <v>20562.994210857247</v>
      </c>
      <c r="Q48" s="24">
        <f t="shared" si="8"/>
        <v>794073.57383326674</v>
      </c>
      <c r="R48" s="1"/>
      <c r="S48" s="1"/>
      <c r="T48" s="1"/>
      <c r="U48" s="3">
        <f>L48</f>
        <v>38</v>
      </c>
      <c r="V48" s="24">
        <f>B48*$Y$4^U48</f>
        <v>21467.081140495906</v>
      </c>
      <c r="W48" s="24">
        <f t="shared" si="9"/>
        <v>432535.33972238092</v>
      </c>
      <c r="X48" s="24">
        <f>C48*$Y$4^(U48+1)</f>
        <v>27.741500002124926</v>
      </c>
      <c r="Y48" s="24">
        <f t="shared" si="10"/>
        <v>4671.2067414337844</v>
      </c>
      <c r="Z48" s="1"/>
      <c r="AA48" s="25">
        <f>N48/M48</f>
        <v>27.981500787392392</v>
      </c>
      <c r="AB48" s="1">
        <f>P48/M48/(1+$V$5)</f>
        <v>0.45134312181583452</v>
      </c>
      <c r="AC48" s="1">
        <f>(1-AB48*(1+$V$5))/$P$6</f>
        <v>27.981500787392413</v>
      </c>
      <c r="AD48" s="26">
        <f t="shared" si="15"/>
        <v>2.1316282072803006E-14</v>
      </c>
      <c r="AE48" s="1">
        <f t="shared" si="16"/>
        <v>0.21759859716661395</v>
      </c>
      <c r="AF48" s="1">
        <f t="shared" si="17"/>
        <v>1.3887983556150701E-2</v>
      </c>
      <c r="AG48" s="1">
        <f t="shared" si="18"/>
        <v>36.122645229547913</v>
      </c>
      <c r="AH48" s="1">
        <f t="shared" si="19"/>
        <v>6.0102117458162745</v>
      </c>
      <c r="AI48" s="1">
        <f t="shared" si="20"/>
        <v>0.21479232981399954</v>
      </c>
    </row>
    <row r="49" spans="1:35" x14ac:dyDescent="0.45">
      <c r="A49" s="16">
        <f t="shared" si="11"/>
        <v>39</v>
      </c>
      <c r="B49" s="17">
        <f t="shared" si="12"/>
        <v>96560.999983131216</v>
      </c>
      <c r="C49" s="18">
        <f t="shared" si="0"/>
        <v>141.99999942819704</v>
      </c>
      <c r="D49" s="19">
        <v>1.470573E-3</v>
      </c>
      <c r="E49" s="20">
        <f t="shared" si="1"/>
        <v>0.99852942700000002</v>
      </c>
      <c r="F49" s="21">
        <f t="shared" si="2"/>
        <v>1.4084360922894865E-3</v>
      </c>
      <c r="G49" s="1"/>
      <c r="H49" s="22">
        <f t="shared" si="3"/>
        <v>3927967.9988576542</v>
      </c>
      <c r="I49" s="19">
        <f t="shared" si="13"/>
        <v>39.678617656650744</v>
      </c>
      <c r="J49" s="23">
        <f t="shared" si="14"/>
        <v>40.178617656650744</v>
      </c>
      <c r="K49" s="1"/>
      <c r="L49" s="3">
        <f t="shared" si="4"/>
        <v>39</v>
      </c>
      <c r="M49" s="24">
        <f t="shared" si="5"/>
        <v>44606.182400523059</v>
      </c>
      <c r="N49" s="24">
        <f t="shared" si="6"/>
        <v>1229265.3142895978</v>
      </c>
      <c r="O49" s="24">
        <f t="shared" si="7"/>
        <v>64.310438697339379</v>
      </c>
      <c r="P49" s="24">
        <f t="shared" si="8"/>
        <v>20502.940943864243</v>
      </c>
      <c r="Q49" s="24">
        <f t="shared" si="8"/>
        <v>773510.57962240954</v>
      </c>
      <c r="R49" s="1"/>
      <c r="S49" s="1"/>
      <c r="T49" s="1"/>
      <c r="U49" s="3">
        <f>L49</f>
        <v>39</v>
      </c>
      <c r="V49" s="24">
        <f>B49*$Y$4^U49</f>
        <v>20605.746716545265</v>
      </c>
      <c r="W49" s="24">
        <f t="shared" si="9"/>
        <v>411068.25858188502</v>
      </c>
      <c r="X49" s="24">
        <f>C49*$Y$4^(U49+1)</f>
        <v>29.125581282382672</v>
      </c>
      <c r="Y49" s="24">
        <f t="shared" si="10"/>
        <v>4643.4652414316597</v>
      </c>
      <c r="Z49" s="1"/>
      <c r="AA49" s="25">
        <f>N49/M49</f>
        <v>27.558182479099202</v>
      </c>
      <c r="AB49" s="1">
        <f>P49/M49/(1+$V$5)</f>
        <v>0.45964348080197559</v>
      </c>
      <c r="AC49" s="1">
        <f>(1-AB49*(1+$V$5))/$P$6</f>
        <v>27.558182479099219</v>
      </c>
      <c r="AD49" s="26">
        <f t="shared" si="15"/>
        <v>1.7763568394002505E-14</v>
      </c>
      <c r="AE49" s="1">
        <f t="shared" si="16"/>
        <v>0.22534806941517999</v>
      </c>
      <c r="AF49" s="1">
        <f t="shared" si="17"/>
        <v>1.4075939971423895E-2</v>
      </c>
      <c r="AG49" s="1">
        <f t="shared" si="18"/>
        <v>36.611519865673486</v>
      </c>
      <c r="AH49" s="1">
        <f t="shared" si="19"/>
        <v>6.0507453975252909</v>
      </c>
      <c r="AI49" s="1">
        <f t="shared" si="20"/>
        <v>0.21956257101187004</v>
      </c>
    </row>
    <row r="50" spans="1:35" x14ac:dyDescent="0.45">
      <c r="A50" s="16">
        <f t="shared" si="11"/>
        <v>40</v>
      </c>
      <c r="B50" s="17">
        <f t="shared" si="12"/>
        <v>96418.999983703019</v>
      </c>
      <c r="C50" s="18">
        <f t="shared" si="0"/>
        <v>156.00000256323256</v>
      </c>
      <c r="D50" s="19">
        <v>1.6179384000000001E-3</v>
      </c>
      <c r="E50" s="20">
        <f t="shared" si="1"/>
        <v>0.99838206159999998</v>
      </c>
      <c r="F50" s="21">
        <f t="shared" si="2"/>
        <v>1.545338584935533E-3</v>
      </c>
      <c r="G50" s="1"/>
      <c r="H50" s="22">
        <f t="shared" si="3"/>
        <v>3831406.9988745227</v>
      </c>
      <c r="I50" s="19">
        <f t="shared" si="13"/>
        <v>38.737053895208589</v>
      </c>
      <c r="J50" s="23">
        <f t="shared" si="14"/>
        <v>39.237053895208589</v>
      </c>
      <c r="K50" s="1"/>
      <c r="L50" s="3">
        <f t="shared" si="4"/>
        <v>40</v>
      </c>
      <c r="M50" s="24">
        <f t="shared" si="5"/>
        <v>43667.240934364483</v>
      </c>
      <c r="N50" s="24">
        <f t="shared" si="6"/>
        <v>1184659.1318890748</v>
      </c>
      <c r="O50" s="24">
        <f t="shared" si="7"/>
        <v>69.265594048784521</v>
      </c>
      <c r="P50" s="24">
        <f t="shared" si="8"/>
        <v>20438.630505166904</v>
      </c>
      <c r="Q50" s="24">
        <f t="shared" si="8"/>
        <v>753007.63867854525</v>
      </c>
      <c r="R50" s="1"/>
      <c r="S50" s="1"/>
      <c r="T50" s="1"/>
      <c r="U50" s="3">
        <f>L50</f>
        <v>40</v>
      </c>
      <c r="V50" s="24">
        <f>B50*$Y$4^U50</f>
        <v>19776.474876758046</v>
      </c>
      <c r="W50" s="24">
        <f t="shared" si="9"/>
        <v>390462.51186533977</v>
      </c>
      <c r="X50" s="24">
        <f>C50*$Y$4^(U50+1)</f>
        <v>30.754631026280389</v>
      </c>
      <c r="Y50" s="24">
        <f t="shared" si="10"/>
        <v>4614.3396601492768</v>
      </c>
      <c r="Z50" s="1"/>
      <c r="AA50" s="25">
        <f>N50/M50</f>
        <v>27.129241658975353</v>
      </c>
      <c r="AB50" s="1">
        <f>P50/M50/(1+$V$5)</f>
        <v>0.46805408511812951</v>
      </c>
      <c r="AC50" s="1">
        <f>(1-AB50*(1+$V$5))/$P$6</f>
        <v>27.129241658975371</v>
      </c>
      <c r="AD50" s="26">
        <f t="shared" si="15"/>
        <v>1.7763568394002505E-14</v>
      </c>
      <c r="AE50" s="1">
        <f t="shared" si="16"/>
        <v>0.2333246793933027</v>
      </c>
      <c r="AF50" s="1">
        <f t="shared" si="17"/>
        <v>1.4250052797533469E-2</v>
      </c>
      <c r="AG50" s="1">
        <f t="shared" si="18"/>
        <v>37.064387326384491</v>
      </c>
      <c r="AH50" s="1">
        <f t="shared" si="19"/>
        <v>6.0880528353804957</v>
      </c>
      <c r="AI50" s="1">
        <f t="shared" si="20"/>
        <v>0.22440925227138972</v>
      </c>
    </row>
    <row r="51" spans="1:35" x14ac:dyDescent="0.45">
      <c r="A51" s="16">
        <f t="shared" si="11"/>
        <v>41</v>
      </c>
      <c r="B51" s="17">
        <f t="shared" si="12"/>
        <v>96262.999981139787</v>
      </c>
      <c r="C51" s="18">
        <f t="shared" si="0"/>
        <v>168.99999660789035</v>
      </c>
      <c r="D51" s="19">
        <v>1.755607E-3</v>
      </c>
      <c r="E51" s="20">
        <f t="shared" si="1"/>
        <v>0.99824439300000001</v>
      </c>
      <c r="F51" s="21">
        <f t="shared" si="2"/>
        <v>1.688083683423528E-3</v>
      </c>
      <c r="G51" s="1"/>
      <c r="H51" s="22">
        <f t="shared" si="3"/>
        <v>3734987.99889082</v>
      </c>
      <c r="I51" s="19">
        <f t="shared" si="13"/>
        <v>37.799829629479582</v>
      </c>
      <c r="J51" s="23">
        <f t="shared" si="14"/>
        <v>38.299829629479582</v>
      </c>
      <c r="K51" s="1"/>
      <c r="L51" s="3">
        <f t="shared" si="4"/>
        <v>41</v>
      </c>
      <c r="M51" s="24">
        <f t="shared" si="5"/>
        <v>42741.754929837967</v>
      </c>
      <c r="N51" s="24">
        <f t="shared" si="6"/>
        <v>1140991.8909547103</v>
      </c>
      <c r="O51" s="24">
        <f t="shared" si="7"/>
        <v>73.566396222655584</v>
      </c>
      <c r="P51" s="24">
        <f t="shared" si="8"/>
        <v>20369.364911118118</v>
      </c>
      <c r="Q51" s="24">
        <f t="shared" si="8"/>
        <v>732569.0081733783</v>
      </c>
      <c r="R51" s="1"/>
      <c r="S51" s="1"/>
      <c r="T51" s="1"/>
      <c r="U51" s="3">
        <f>L51</f>
        <v>41</v>
      </c>
      <c r="V51" s="24">
        <f>B51*$Y$4^U51</f>
        <v>18977.775623450885</v>
      </c>
      <c r="W51" s="24">
        <f t="shared" si="9"/>
        <v>370686.03698858171</v>
      </c>
      <c r="X51" s="24">
        <f>C51*$Y$4^(U51+1)</f>
        <v>32.02375598708192</v>
      </c>
      <c r="Y51" s="24">
        <f t="shared" si="10"/>
        <v>4583.5850291229963</v>
      </c>
      <c r="Z51" s="1"/>
      <c r="AA51" s="25">
        <f>N51/M51</f>
        <v>26.695017385872131</v>
      </c>
      <c r="AB51" s="1">
        <f>P51/M51/(1+$V$5)</f>
        <v>0.476568286551526</v>
      </c>
      <c r="AC51" s="1">
        <f>(1-AB51*(1+$V$5))/$P$6</f>
        <v>26.695017385872152</v>
      </c>
      <c r="AD51" s="26">
        <f t="shared" si="15"/>
        <v>2.1316282072803006E-14</v>
      </c>
      <c r="AE51" s="1">
        <f t="shared" si="16"/>
        <v>0.24152382871778971</v>
      </c>
      <c r="AF51" s="1">
        <f t="shared" si="17"/>
        <v>1.4406496971132304E-2</v>
      </c>
      <c r="AG51" s="1">
        <f t="shared" si="18"/>
        <v>37.471298621915061</v>
      </c>
      <c r="AH51" s="1">
        <f t="shared" si="19"/>
        <v>6.1213804506757343</v>
      </c>
      <c r="AI51" s="1">
        <f t="shared" si="20"/>
        <v>0.22930797767209424</v>
      </c>
    </row>
    <row r="52" spans="1:35" x14ac:dyDescent="0.45">
      <c r="A52" s="16">
        <f t="shared" si="11"/>
        <v>42</v>
      </c>
      <c r="B52" s="17">
        <f t="shared" si="12"/>
        <v>96093.999984531896</v>
      </c>
      <c r="C52" s="18">
        <f t="shared" si="0"/>
        <v>184.00000319957326</v>
      </c>
      <c r="D52" s="19">
        <v>1.9147917999999999E-3</v>
      </c>
      <c r="E52" s="20">
        <f t="shared" si="1"/>
        <v>0.99808520820000002</v>
      </c>
      <c r="F52" s="21">
        <f t="shared" si="2"/>
        <v>1.8367431882546541E-3</v>
      </c>
      <c r="G52" s="1"/>
      <c r="H52" s="22">
        <f t="shared" si="3"/>
        <v>3638724.9989096802</v>
      </c>
      <c r="I52" s="19">
        <f t="shared" si="13"/>
        <v>36.866307984841924</v>
      </c>
      <c r="J52" s="23">
        <f t="shared" si="14"/>
        <v>37.366307984841924</v>
      </c>
      <c r="K52" s="1"/>
      <c r="L52" s="3">
        <f t="shared" si="4"/>
        <v>42</v>
      </c>
      <c r="M52" s="24">
        <f t="shared" si="5"/>
        <v>41830.114907540054</v>
      </c>
      <c r="N52" s="24">
        <f t="shared" si="6"/>
        <v>1098250.1360248723</v>
      </c>
      <c r="O52" s="24">
        <f t="shared" si="7"/>
        <v>78.525451978442874</v>
      </c>
      <c r="P52" s="24">
        <f t="shared" si="8"/>
        <v>20295.798514895461</v>
      </c>
      <c r="Q52" s="24">
        <f t="shared" si="8"/>
        <v>712199.64326226013</v>
      </c>
      <c r="R52" s="1"/>
      <c r="S52" s="1"/>
      <c r="T52" s="1"/>
      <c r="U52" s="3">
        <f>L52</f>
        <v>42</v>
      </c>
      <c r="V52" s="24">
        <f>B52*$Y$4^U52</f>
        <v>18208.821710613152</v>
      </c>
      <c r="W52" s="24">
        <f t="shared" si="9"/>
        <v>351708.26136513083</v>
      </c>
      <c r="X52" s="24">
        <f>C52*$Y$4^(U52+1)</f>
        <v>33.512209245619395</v>
      </c>
      <c r="Y52" s="24">
        <f t="shared" si="10"/>
        <v>4551.5612731359142</v>
      </c>
      <c r="Z52" s="1"/>
      <c r="AA52" s="25">
        <f>N52/M52</f>
        <v>26.255011215063817</v>
      </c>
      <c r="AB52" s="1">
        <f>P52/M52/(1+$V$5)</f>
        <v>0.48519585852815955</v>
      </c>
      <c r="AC52" s="1">
        <f>(1-AB52*(1+$V$5))/$P$6</f>
        <v>26.255011215063842</v>
      </c>
      <c r="AD52" s="26">
        <f t="shared" si="15"/>
        <v>2.4868995751603507E-14</v>
      </c>
      <c r="AE52" s="1">
        <f t="shared" si="16"/>
        <v>0.24996462404170841</v>
      </c>
      <c r="AF52" s="1">
        <f t="shared" si="17"/>
        <v>1.4549602908830589E-2</v>
      </c>
      <c r="AG52" s="1">
        <f t="shared" si="18"/>
        <v>37.843517165868299</v>
      </c>
      <c r="AH52" s="1">
        <f t="shared" si="19"/>
        <v>6.1517084753642459</v>
      </c>
      <c r="AI52" s="1">
        <f t="shared" si="20"/>
        <v>0.23430606922897454</v>
      </c>
    </row>
    <row r="53" spans="1:35" x14ac:dyDescent="0.45">
      <c r="A53" s="16">
        <f t="shared" si="11"/>
        <v>43</v>
      </c>
      <c r="B53" s="17">
        <f t="shared" si="12"/>
        <v>95909.999981332323</v>
      </c>
      <c r="C53" s="18">
        <f t="shared" si="0"/>
        <v>202.99999847648724</v>
      </c>
      <c r="D53" s="19">
        <v>2.1165676E-3</v>
      </c>
      <c r="E53" s="20">
        <f t="shared" si="1"/>
        <v>0.99788343239999999</v>
      </c>
      <c r="F53" s="21">
        <f t="shared" si="2"/>
        <v>2.01751643077565E-3</v>
      </c>
      <c r="G53" s="1"/>
      <c r="H53" s="22">
        <f t="shared" si="3"/>
        <v>3542630.998925148</v>
      </c>
      <c r="I53" s="19">
        <f t="shared" si="13"/>
        <v>35.9370347160325</v>
      </c>
      <c r="J53" s="23">
        <f t="shared" si="14"/>
        <v>36.4370347160325</v>
      </c>
      <c r="K53" s="1"/>
      <c r="L53" s="3">
        <f t="shared" si="4"/>
        <v>43</v>
      </c>
      <c r="M53" s="24">
        <f t="shared" si="5"/>
        <v>40931.391124041213</v>
      </c>
      <c r="N53" s="24">
        <f t="shared" si="6"/>
        <v>1056420.0211173322</v>
      </c>
      <c r="O53" s="24">
        <f t="shared" si="7"/>
        <v>84.935349290267283</v>
      </c>
      <c r="P53" s="24">
        <f t="shared" si="8"/>
        <v>20217.273062917018</v>
      </c>
      <c r="Q53" s="24">
        <f t="shared" si="8"/>
        <v>691903.84474736464</v>
      </c>
      <c r="R53" s="1"/>
      <c r="S53" s="1"/>
      <c r="T53" s="1"/>
      <c r="U53" s="3">
        <f>L53</f>
        <v>43</v>
      </c>
      <c r="V53" s="24">
        <f>B53*$Y$4^U53</f>
        <v>17468.238762124194</v>
      </c>
      <c r="W53" s="24">
        <f t="shared" si="9"/>
        <v>333499.43965451769</v>
      </c>
      <c r="X53" s="24">
        <f>C53*$Y$4^(U53+1)</f>
        <v>35.537012872910346</v>
      </c>
      <c r="Y53" s="24">
        <f t="shared" si="10"/>
        <v>4518.0490638902947</v>
      </c>
      <c r="Z53" s="1"/>
      <c r="AA53" s="25">
        <f>N53/M53</f>
        <v>25.809531318295207</v>
      </c>
      <c r="AB53" s="1">
        <f>P53/M53/(1+$V$5)</f>
        <v>0.493930758464799</v>
      </c>
      <c r="AC53" s="1">
        <f>(1-AB53*(1+$V$5))/$P$6</f>
        <v>25.809531318295232</v>
      </c>
      <c r="AD53" s="26">
        <f t="shared" si="15"/>
        <v>2.4868995751603507E-14</v>
      </c>
      <c r="AE53" s="1">
        <f t="shared" si="16"/>
        <v>0.25864365179657561</v>
      </c>
      <c r="AF53" s="1">
        <f t="shared" si="17"/>
        <v>1.4676057638964013E-2</v>
      </c>
      <c r="AG53" s="1">
        <f t="shared" si="18"/>
        <v>38.172425918945329</v>
      </c>
      <c r="AH53" s="1">
        <f t="shared" si="19"/>
        <v>6.1783837626797942</v>
      </c>
      <c r="AI53" s="1">
        <f t="shared" si="20"/>
        <v>0.23938380307976448</v>
      </c>
    </row>
    <row r="54" spans="1:35" x14ac:dyDescent="0.45">
      <c r="A54" s="16">
        <f t="shared" si="11"/>
        <v>44</v>
      </c>
      <c r="B54" s="17">
        <f t="shared" si="12"/>
        <v>95706.999982855836</v>
      </c>
      <c r="C54" s="18">
        <f t="shared" si="0"/>
        <v>222.00000473743421</v>
      </c>
      <c r="D54" s="19">
        <v>2.3195796000000002E-3</v>
      </c>
      <c r="E54" s="20">
        <f t="shared" si="1"/>
        <v>0.99768042040000005</v>
      </c>
      <c r="F54" s="21">
        <f t="shared" si="2"/>
        <v>2.2203182802201116E-3</v>
      </c>
      <c r="G54" s="1"/>
      <c r="H54" s="22">
        <f t="shared" si="3"/>
        <v>3446720.9989438159</v>
      </c>
      <c r="I54" s="19">
        <f t="shared" si="13"/>
        <v>35.013259213654521</v>
      </c>
      <c r="J54" s="23">
        <f t="shared" si="14"/>
        <v>35.513259213654521</v>
      </c>
      <c r="K54" s="1"/>
      <c r="L54" s="3">
        <f t="shared" si="4"/>
        <v>44</v>
      </c>
      <c r="M54" s="24">
        <f t="shared" si="5"/>
        <v>40043.879478201117</v>
      </c>
      <c r="N54" s="24">
        <f t="shared" si="6"/>
        <v>1015488.6299932909</v>
      </c>
      <c r="O54" s="24">
        <f t="shared" si="7"/>
        <v>91.063692100484872</v>
      </c>
      <c r="P54" s="24">
        <f t="shared" si="8"/>
        <v>20132.337713626752</v>
      </c>
      <c r="Q54" s="24">
        <f t="shared" si="8"/>
        <v>671686.57168444758</v>
      </c>
      <c r="R54" s="1"/>
      <c r="S54" s="1"/>
      <c r="T54" s="1"/>
      <c r="U54" s="3">
        <f>L54</f>
        <v>44</v>
      </c>
      <c r="V54" s="24">
        <f>B54*$Y$4^U54</f>
        <v>16754.388748492132</v>
      </c>
      <c r="W54" s="24">
        <f t="shared" si="9"/>
        <v>316031.20089239348</v>
      </c>
      <c r="X54" s="24">
        <f>C54*$Y$4^(U54+1)</f>
        <v>37.354035324367679</v>
      </c>
      <c r="Y54" s="24">
        <f t="shared" si="10"/>
        <v>4482.5120510173847</v>
      </c>
      <c r="Z54" s="1"/>
      <c r="AA54" s="25">
        <f>N54/M54</f>
        <v>25.359396822330798</v>
      </c>
      <c r="AB54" s="1">
        <f>P54/M54/(1+$V$5)</f>
        <v>0.50275692505233638</v>
      </c>
      <c r="AC54" s="1">
        <f>(1-AB54*(1+$V$5))/$P$6</f>
        <v>25.359396822330822</v>
      </c>
      <c r="AD54" s="26">
        <f t="shared" si="15"/>
        <v>2.4868995751603507E-14</v>
      </c>
      <c r="AE54" s="1">
        <f t="shared" si="16"/>
        <v>0.26754255964251777</v>
      </c>
      <c r="AF54" s="1">
        <f t="shared" si="17"/>
        <v>1.477803395443722E-2</v>
      </c>
      <c r="AG54" s="1">
        <f t="shared" si="18"/>
        <v>38.437666315491143</v>
      </c>
      <c r="AH54" s="1">
        <f t="shared" si="19"/>
        <v>6.199811796779894</v>
      </c>
      <c r="AI54" s="1">
        <f t="shared" si="20"/>
        <v>0.24447788881636601</v>
      </c>
    </row>
    <row r="55" spans="1:35" x14ac:dyDescent="0.45">
      <c r="A55" s="16">
        <f t="shared" si="11"/>
        <v>45</v>
      </c>
      <c r="B55" s="17">
        <f t="shared" si="12"/>
        <v>95484.999978118401</v>
      </c>
      <c r="C55" s="18">
        <f t="shared" si="0"/>
        <v>240.00000058799924</v>
      </c>
      <c r="D55" s="19">
        <v>2.5134837999999998E-3</v>
      </c>
      <c r="E55" s="20">
        <f t="shared" si="1"/>
        <v>0.99748651619999995</v>
      </c>
      <c r="F55" s="21">
        <f t="shared" si="2"/>
        <v>2.4192281794591119E-3</v>
      </c>
      <c r="G55" s="1"/>
      <c r="H55" s="22">
        <f t="shared" si="3"/>
        <v>3351013.9989609602</v>
      </c>
      <c r="I55" s="19">
        <f t="shared" si="13"/>
        <v>34.094664080524559</v>
      </c>
      <c r="J55" s="23">
        <f t="shared" si="14"/>
        <v>34.594664080524559</v>
      </c>
      <c r="K55" s="1"/>
      <c r="L55" s="3">
        <f t="shared" si="4"/>
        <v>45</v>
      </c>
      <c r="M55" s="24">
        <f t="shared" si="5"/>
        <v>39167.641678684922</v>
      </c>
      <c r="N55" s="24">
        <f t="shared" si="6"/>
        <v>975444.75051508972</v>
      </c>
      <c r="O55" s="24">
        <f t="shared" si="7"/>
        <v>96.51689494468495</v>
      </c>
      <c r="P55" s="24">
        <f t="shared" si="8"/>
        <v>20041.274021526267</v>
      </c>
      <c r="Q55" s="24">
        <f t="shared" si="8"/>
        <v>651554.23397082079</v>
      </c>
      <c r="R55" s="1"/>
      <c r="S55" s="1"/>
      <c r="T55" s="1"/>
      <c r="U55" s="3">
        <f>L55</f>
        <v>45</v>
      </c>
      <c r="V55" s="24">
        <f>B55*$Y$4^U55</f>
        <v>16066.441378451231</v>
      </c>
      <c r="W55" s="24">
        <f t="shared" si="9"/>
        <v>299276.81214390136</v>
      </c>
      <c r="X55" s="24">
        <f>C55*$Y$4^(U55+1)</f>
        <v>38.814629112251581</v>
      </c>
      <c r="Y55" s="24">
        <f t="shared" si="10"/>
        <v>4445.1580156930168</v>
      </c>
      <c r="Z55" s="1"/>
      <c r="AA55" s="25">
        <f>N55/M55</f>
        <v>24.904352386524408</v>
      </c>
      <c r="AB55" s="1">
        <f>P55/M55/(1+$V$5)</f>
        <v>0.5116793649701088</v>
      </c>
      <c r="AC55" s="1">
        <f>(1-AB55*(1+$V$5))/$P$6</f>
        <v>24.90435238652443</v>
      </c>
      <c r="AD55" s="26">
        <f t="shared" si="15"/>
        <v>2.1316282072803006E-14</v>
      </c>
      <c r="AE55" s="1">
        <f t="shared" si="16"/>
        <v>0.2766734655786931</v>
      </c>
      <c r="AF55" s="1">
        <f t="shared" si="17"/>
        <v>1.4857693042479303E-2</v>
      </c>
      <c r="AG55" s="1">
        <f t="shared" si="18"/>
        <v>38.644859603488598</v>
      </c>
      <c r="AH55" s="1">
        <f t="shared" si="19"/>
        <v>6.2164989828269572</v>
      </c>
      <c r="AI55" s="1">
        <f t="shared" si="20"/>
        <v>0.24961496233046665</v>
      </c>
    </row>
    <row r="56" spans="1:35" x14ac:dyDescent="0.45">
      <c r="A56" s="16">
        <f t="shared" si="11"/>
        <v>46</v>
      </c>
      <c r="B56" s="17">
        <f t="shared" si="12"/>
        <v>95244.999977530402</v>
      </c>
      <c r="C56" s="18">
        <f t="shared" si="0"/>
        <v>262.0000030851952</v>
      </c>
      <c r="D56" s="19">
        <v>2.7508006000000001E-3</v>
      </c>
      <c r="E56" s="20">
        <f t="shared" si="1"/>
        <v>0.99724919940000001</v>
      </c>
      <c r="F56" s="21">
        <f t="shared" si="2"/>
        <v>2.635308960006421E-3</v>
      </c>
      <c r="G56" s="1"/>
      <c r="H56" s="22">
        <f t="shared" si="3"/>
        <v>3255528.9989828416</v>
      </c>
      <c r="I56" s="19">
        <f t="shared" si="13"/>
        <v>33.180576405594678</v>
      </c>
      <c r="J56" s="23">
        <f t="shared" si="14"/>
        <v>33.680576405594678</v>
      </c>
      <c r="K56" s="1"/>
      <c r="L56" s="3">
        <f t="shared" si="4"/>
        <v>46</v>
      </c>
      <c r="M56" s="24">
        <f t="shared" si="5"/>
        <v>38303.131809648374</v>
      </c>
      <c r="N56" s="24">
        <f t="shared" si="6"/>
        <v>936277.10883640475</v>
      </c>
      <c r="O56" s="24">
        <f t="shared" si="7"/>
        <v>103.29831172927616</v>
      </c>
      <c r="P56" s="24">
        <f t="shared" si="8"/>
        <v>19944.757126581582</v>
      </c>
      <c r="Q56" s="24">
        <f t="shared" si="8"/>
        <v>631512.95994929457</v>
      </c>
      <c r="R56" s="1"/>
      <c r="S56" s="1"/>
      <c r="T56" s="1"/>
      <c r="U56" s="3">
        <f>L56</f>
        <v>46</v>
      </c>
      <c r="V56" s="24">
        <f>B56*$Y$4^U56</f>
        <v>15403.747249445254</v>
      </c>
      <c r="W56" s="24">
        <f t="shared" si="9"/>
        <v>283210.37076545012</v>
      </c>
      <c r="X56" s="24">
        <f>C56*$Y$4^(U56+1)</f>
        <v>40.727256032317456</v>
      </c>
      <c r="Y56" s="24">
        <f t="shared" si="10"/>
        <v>4406.3433865807656</v>
      </c>
      <c r="Z56" s="1"/>
      <c r="AA56" s="25">
        <f>N56/M56</f>
        <v>24.443878727445494</v>
      </c>
      <c r="AB56" s="1">
        <f>P56/M56/(1+$V$5)</f>
        <v>0.5207082602461659</v>
      </c>
      <c r="AC56" s="1">
        <f>(1-AB56*(1+$V$5))/$P$6</f>
        <v>24.443878727445519</v>
      </c>
      <c r="AD56" s="26">
        <f t="shared" si="15"/>
        <v>2.4868995751603507E-14</v>
      </c>
      <c r="AE56" s="1">
        <f t="shared" si="16"/>
        <v>0.28605658838887105</v>
      </c>
      <c r="AF56" s="1">
        <f t="shared" si="17"/>
        <v>1.4919496100282204E-2</v>
      </c>
      <c r="AG56" s="1">
        <f t="shared" si="18"/>
        <v>38.805609356833948</v>
      </c>
      <c r="AH56" s="1">
        <f t="shared" si="19"/>
        <v>6.2294148486702943</v>
      </c>
      <c r="AI56" s="1">
        <f t="shared" si="20"/>
        <v>0.25484559623820796</v>
      </c>
    </row>
    <row r="57" spans="1:35" x14ac:dyDescent="0.45">
      <c r="A57" s="16">
        <f t="shared" si="11"/>
        <v>47</v>
      </c>
      <c r="B57" s="17">
        <f t="shared" si="12"/>
        <v>94982.999974445207</v>
      </c>
      <c r="C57" s="18">
        <f t="shared" si="0"/>
        <v>284.99999629602826</v>
      </c>
      <c r="D57" s="19">
        <v>3.0005369000000001E-3</v>
      </c>
      <c r="E57" s="20">
        <f t="shared" si="1"/>
        <v>0.99699946309999998</v>
      </c>
      <c r="F57" s="21">
        <f t="shared" si="2"/>
        <v>2.8794626382004757E-3</v>
      </c>
      <c r="G57" s="1"/>
      <c r="H57" s="22">
        <f t="shared" si="3"/>
        <v>3160283.9990053112</v>
      </c>
      <c r="I57" s="19">
        <f t="shared" si="13"/>
        <v>32.272101321874153</v>
      </c>
      <c r="J57" s="23">
        <f t="shared" si="14"/>
        <v>32.772101321874153</v>
      </c>
      <c r="K57" s="1"/>
      <c r="L57" s="3">
        <f t="shared" si="4"/>
        <v>47</v>
      </c>
      <c r="M57" s="24">
        <f t="shared" si="5"/>
        <v>37448.791697729917</v>
      </c>
      <c r="N57" s="24">
        <f t="shared" si="6"/>
        <v>897973.97702675639</v>
      </c>
      <c r="O57" s="24">
        <f t="shared" si="7"/>
        <v>110.16321700926936</v>
      </c>
      <c r="P57" s="24">
        <f t="shared" si="8"/>
        <v>19841.458814852307</v>
      </c>
      <c r="Q57" s="24">
        <f t="shared" si="8"/>
        <v>611568.20282271295</v>
      </c>
      <c r="R57" s="1"/>
      <c r="S57" s="1"/>
      <c r="T57" s="1"/>
      <c r="U57" s="3">
        <f>L57</f>
        <v>47</v>
      </c>
      <c r="V57" s="24">
        <f>B57*$Y$4^U57</f>
        <v>14764.873714214942</v>
      </c>
      <c r="W57" s="24">
        <f t="shared" si="9"/>
        <v>267806.62351600488</v>
      </c>
      <c r="X57" s="24">
        <f>C57*$Y$4^(U57+1)</f>
        <v>42.582226454578027</v>
      </c>
      <c r="Y57" s="24">
        <f t="shared" si="10"/>
        <v>4365.6161305484484</v>
      </c>
      <c r="Z57" s="1"/>
      <c r="AA57" s="25">
        <f>N57/M57</f>
        <v>23.978716971025531</v>
      </c>
      <c r="AB57" s="1">
        <f>P57/M57/(1+$V$5)</f>
        <v>0.52982907899949849</v>
      </c>
      <c r="AC57" s="1">
        <f>(1-AB57*(1+$V$5))/$P$6</f>
        <v>23.978716971025555</v>
      </c>
      <c r="AD57" s="26">
        <f t="shared" si="15"/>
        <v>2.4868995751603507E-14</v>
      </c>
      <c r="AE57" s="1">
        <f t="shared" si="16"/>
        <v>0.29567581918058899</v>
      </c>
      <c r="AF57" s="1">
        <f t="shared" si="17"/>
        <v>1.4956966227132162E-2</v>
      </c>
      <c r="AG57" s="1">
        <f t="shared" si="18"/>
        <v>38.903069156770684</v>
      </c>
      <c r="AH57" s="1">
        <f t="shared" si="19"/>
        <v>6.2372324918004045</v>
      </c>
      <c r="AI57" s="1">
        <f t="shared" si="20"/>
        <v>0.26011535560209953</v>
      </c>
    </row>
    <row r="58" spans="1:35" x14ac:dyDescent="0.45">
      <c r="A58" s="16">
        <f t="shared" si="11"/>
        <v>48</v>
      </c>
      <c r="B58" s="17">
        <f t="shared" si="12"/>
        <v>94697.999978149179</v>
      </c>
      <c r="C58" s="18">
        <f t="shared" si="0"/>
        <v>310.00000147966784</v>
      </c>
      <c r="D58" s="19">
        <v>3.2735644000000002E-3</v>
      </c>
      <c r="E58" s="20">
        <f t="shared" si="1"/>
        <v>0.99672643559999996</v>
      </c>
      <c r="F58" s="21">
        <f t="shared" si="2"/>
        <v>3.1415658087445759E-3</v>
      </c>
      <c r="G58" s="1"/>
      <c r="H58" s="22">
        <f t="shared" si="3"/>
        <v>3065300.9990308657</v>
      </c>
      <c r="I58" s="19">
        <f t="shared" si="13"/>
        <v>31.369226380051952</v>
      </c>
      <c r="J58" s="23">
        <f t="shared" si="14"/>
        <v>31.869226380051952</v>
      </c>
      <c r="K58" s="1"/>
      <c r="L58" s="3">
        <f t="shared" si="4"/>
        <v>48</v>
      </c>
      <c r="M58" s="24">
        <f t="shared" si="5"/>
        <v>36604.338447431823</v>
      </c>
      <c r="N58" s="24">
        <f t="shared" si="6"/>
        <v>860525.18532902643</v>
      </c>
      <c r="O58" s="24">
        <f t="shared" si="7"/>
        <v>117.47711688927771</v>
      </c>
      <c r="P58" s="24">
        <f t="shared" si="8"/>
        <v>19731.295597843036</v>
      </c>
      <c r="Q58" s="24">
        <f t="shared" si="8"/>
        <v>591726.74400786066</v>
      </c>
      <c r="R58" s="1"/>
      <c r="S58" s="1"/>
      <c r="T58" s="1"/>
      <c r="U58" s="3">
        <f>L58</f>
        <v>48</v>
      </c>
      <c r="V58" s="24">
        <f>B58*$Y$4^U58</f>
        <v>14148.953446570165</v>
      </c>
      <c r="W58" s="24">
        <f t="shared" si="9"/>
        <v>253041.74980178993</v>
      </c>
      <c r="X58" s="24">
        <f>C58*$Y$4^(U58+1)</f>
        <v>44.518944924979891</v>
      </c>
      <c r="Y58" s="24">
        <f t="shared" si="10"/>
        <v>4323.0339040938707</v>
      </c>
      <c r="Z58" s="1"/>
      <c r="AA58" s="25">
        <f>N58/M58</f>
        <v>23.508830423607922</v>
      </c>
      <c r="AB58" s="1">
        <f>P58/M58/(1+$V$5)</f>
        <v>0.53904254071356927</v>
      </c>
      <c r="AC58" s="1">
        <f>(1-AB58*(1+$V$5))/$P$6</f>
        <v>23.508830423607947</v>
      </c>
      <c r="AD58" s="26">
        <f t="shared" si="15"/>
        <v>2.4868995751603507E-14</v>
      </c>
      <c r="AE58" s="1">
        <f t="shared" si="16"/>
        <v>0.30553736150300315</v>
      </c>
      <c r="AF58" s="1">
        <f t="shared" si="17"/>
        <v>1.4970500804063147E-2</v>
      </c>
      <c r="AG58" s="1">
        <f t="shared" si="18"/>
        <v>38.938272591368175</v>
      </c>
      <c r="AH58" s="1">
        <f t="shared" si="19"/>
        <v>6.2400538933063849</v>
      </c>
      <c r="AI58" s="1">
        <f t="shared" si="20"/>
        <v>0.26543446785170688</v>
      </c>
    </row>
    <row r="59" spans="1:35" x14ac:dyDescent="0.45">
      <c r="A59" s="16">
        <f t="shared" si="11"/>
        <v>49</v>
      </c>
      <c r="B59" s="17">
        <f t="shared" si="12"/>
        <v>94387.999976669511</v>
      </c>
      <c r="C59" s="18">
        <f t="shared" si="0"/>
        <v>332.00000188233389</v>
      </c>
      <c r="D59" s="19">
        <v>3.5173963E-3</v>
      </c>
      <c r="E59" s="20">
        <f t="shared" si="1"/>
        <v>0.99648260369999997</v>
      </c>
      <c r="F59" s="21">
        <f t="shared" si="2"/>
        <v>3.4008560596722518E-3</v>
      </c>
      <c r="G59" s="1"/>
      <c r="H59" s="22">
        <f t="shared" si="3"/>
        <v>2970602.9990527164</v>
      </c>
      <c r="I59" s="19">
        <f t="shared" si="13"/>
        <v>30.472252826492557</v>
      </c>
      <c r="J59" s="23">
        <f t="shared" si="14"/>
        <v>30.972252826492557</v>
      </c>
      <c r="K59" s="1"/>
      <c r="L59" s="3">
        <f t="shared" si="4"/>
        <v>49</v>
      </c>
      <c r="M59" s="24">
        <f t="shared" si="5"/>
        <v>35769.129204122306</v>
      </c>
      <c r="N59" s="24">
        <f t="shared" si="6"/>
        <v>823920.84688159463</v>
      </c>
      <c r="O59" s="24">
        <f t="shared" si="7"/>
        <v>123.34725756549058</v>
      </c>
      <c r="P59" s="24">
        <f t="shared" si="8"/>
        <v>19613.81848095376</v>
      </c>
      <c r="Q59" s="24">
        <f t="shared" si="8"/>
        <v>571995.44841001765</v>
      </c>
      <c r="R59" s="1"/>
      <c r="S59" s="1"/>
      <c r="T59" s="1"/>
      <c r="U59" s="3">
        <f>L59</f>
        <v>49</v>
      </c>
      <c r="V59" s="24">
        <f>B59*$Y$4^U59</f>
        <v>13555.013395107857</v>
      </c>
      <c r="W59" s="24">
        <f t="shared" si="9"/>
        <v>238892.79635521976</v>
      </c>
      <c r="X59" s="24">
        <f>C59*$Y$4^(U59+1)</f>
        <v>45.826945369475496</v>
      </c>
      <c r="Y59" s="24">
        <f t="shared" si="10"/>
        <v>4278.5149591688905</v>
      </c>
      <c r="Z59" s="1"/>
      <c r="AA59" s="25">
        <f>N59/M59</f>
        <v>23.034411662071989</v>
      </c>
      <c r="AB59" s="1">
        <f>P59/M59/(1+$V$5)</f>
        <v>0.5483448693711368</v>
      </c>
      <c r="AC59" s="1">
        <f>(1-AB59*(1+$V$5))/$P$6</f>
        <v>23.034411662072003</v>
      </c>
      <c r="AD59" s="26">
        <f t="shared" si="15"/>
        <v>1.4210854715202004E-14</v>
      </c>
      <c r="AE59" s="1">
        <f t="shared" si="16"/>
        <v>0.31564077691823234</v>
      </c>
      <c r="AF59" s="1">
        <f t="shared" si="17"/>
        <v>1.4958681152583253E-2</v>
      </c>
      <c r="AG59" s="1">
        <f t="shared" si="18"/>
        <v>38.907529677868972</v>
      </c>
      <c r="AH59" s="1">
        <f t="shared" si="19"/>
        <v>6.2375900536881206</v>
      </c>
      <c r="AI59" s="1">
        <f t="shared" si="20"/>
        <v>0.27079441598930937</v>
      </c>
    </row>
    <row r="60" spans="1:35" x14ac:dyDescent="0.45">
      <c r="A60" s="16">
        <f t="shared" si="11"/>
        <v>50</v>
      </c>
      <c r="B60" s="17">
        <f t="shared" si="12"/>
        <v>94055.999974787177</v>
      </c>
      <c r="C60" s="18">
        <f t="shared" si="0"/>
        <v>353.99999675630534</v>
      </c>
      <c r="D60" s="19">
        <v>3.7637152E-3</v>
      </c>
      <c r="E60" s="20">
        <f t="shared" si="1"/>
        <v>0.99623628480000004</v>
      </c>
      <c r="F60" s="21">
        <f t="shared" si="2"/>
        <v>3.6467636239183553E-3</v>
      </c>
      <c r="G60" s="1"/>
      <c r="H60" s="22">
        <f t="shared" si="3"/>
        <v>2876214.999076047</v>
      </c>
      <c r="I60" s="19">
        <f t="shared" si="13"/>
        <v>29.579814151644236</v>
      </c>
      <c r="J60" s="23">
        <f t="shared" si="14"/>
        <v>30.079814151644236</v>
      </c>
      <c r="K60" s="1"/>
      <c r="L60" s="3">
        <f t="shared" si="4"/>
        <v>50</v>
      </c>
      <c r="M60" s="24">
        <f t="shared" si="5"/>
        <v>34944.426471966181</v>
      </c>
      <c r="N60" s="24">
        <f t="shared" si="6"/>
        <v>788151.71767747228</v>
      </c>
      <c r="O60" s="24">
        <f t="shared" si="7"/>
        <v>128.94202849786393</v>
      </c>
      <c r="P60" s="24">
        <f t="shared" si="8"/>
        <v>19490.471223388267</v>
      </c>
      <c r="Q60" s="24">
        <f t="shared" si="8"/>
        <v>552381.62992906384</v>
      </c>
      <c r="R60" s="1"/>
      <c r="S60" s="1"/>
      <c r="T60" s="1"/>
      <c r="U60" s="3">
        <f>L60</f>
        <v>50</v>
      </c>
      <c r="V60" s="24">
        <f>B60*$Y$4^U60</f>
        <v>12982.828759270909</v>
      </c>
      <c r="W60" s="24">
        <f t="shared" si="9"/>
        <v>225337.78296011192</v>
      </c>
      <c r="X60" s="24">
        <f>C60*$Y$4^(U60+1)</f>
        <v>46.966234083299653</v>
      </c>
      <c r="Y60" s="24">
        <f t="shared" si="10"/>
        <v>4232.6880137994149</v>
      </c>
      <c r="Z60" s="1"/>
      <c r="AA60" s="25">
        <f>N60/M60</f>
        <v>22.554432773700238</v>
      </c>
      <c r="AB60" s="1">
        <f>P60/M60/(1+$V$5)</f>
        <v>0.55775622012352399</v>
      </c>
      <c r="AC60" s="1">
        <f>(1-AB60*(1+$V$5))/$P$6</f>
        <v>22.554432773700256</v>
      </c>
      <c r="AD60" s="26">
        <f t="shared" si="15"/>
        <v>1.7763568394002505E-14</v>
      </c>
      <c r="AE60" s="1">
        <f t="shared" si="16"/>
        <v>0.32602201664077979</v>
      </c>
      <c r="AF60" s="1">
        <f t="shared" si="17"/>
        <v>1.4930015554298848E-2</v>
      </c>
      <c r="AG60" s="1">
        <f t="shared" si="18"/>
        <v>38.832970456731239</v>
      </c>
      <c r="AH60" s="1">
        <f t="shared" si="19"/>
        <v>6.2316105828855548</v>
      </c>
      <c r="AI60" s="1">
        <f t="shared" si="20"/>
        <v>0.27629205510998128</v>
      </c>
    </row>
    <row r="61" spans="1:35" x14ac:dyDescent="0.45">
      <c r="A61" s="16">
        <f t="shared" si="11"/>
        <v>51</v>
      </c>
      <c r="B61" s="17">
        <f t="shared" si="12"/>
        <v>93701.999978030872</v>
      </c>
      <c r="C61" s="18">
        <f t="shared" si="0"/>
        <v>379.99999962029688</v>
      </c>
      <c r="D61" s="19">
        <v>4.0554097000000001E-3</v>
      </c>
      <c r="E61" s="20">
        <f t="shared" si="1"/>
        <v>0.99594459030000004</v>
      </c>
      <c r="F61" s="21">
        <f t="shared" si="2"/>
        <v>3.9166719843156707E-3</v>
      </c>
      <c r="G61" s="1"/>
      <c r="H61" s="22">
        <f t="shared" si="3"/>
        <v>2782158.9991012597</v>
      </c>
      <c r="I61" s="19">
        <f t="shared" si="13"/>
        <v>28.691564745187481</v>
      </c>
      <c r="J61" s="23">
        <f t="shared" si="14"/>
        <v>29.191564745187481</v>
      </c>
      <c r="K61" s="1"/>
      <c r="L61" s="3">
        <f t="shared" si="4"/>
        <v>51</v>
      </c>
      <c r="M61" s="24">
        <f t="shared" si="5"/>
        <v>34130.299610684669</v>
      </c>
      <c r="N61" s="24">
        <f t="shared" si="6"/>
        <v>753207.29120550607</v>
      </c>
      <c r="O61" s="24">
        <f t="shared" si="7"/>
        <v>135.69838049517003</v>
      </c>
      <c r="P61" s="24">
        <f t="shared" si="8"/>
        <v>19361.529194890405</v>
      </c>
      <c r="Q61" s="24">
        <f t="shared" si="8"/>
        <v>532891.15870567563</v>
      </c>
      <c r="R61" s="1"/>
      <c r="S61" s="1"/>
      <c r="T61" s="1"/>
      <c r="U61" s="3">
        <f>L61</f>
        <v>51</v>
      </c>
      <c r="V61" s="24">
        <f>B61*$Y$4^U61</f>
        <v>12431.723461486588</v>
      </c>
      <c r="W61" s="24">
        <f t="shared" si="9"/>
        <v>212354.95420084102</v>
      </c>
      <c r="X61" s="24">
        <f>C61*$Y$4^(U61+1)</f>
        <v>48.458027598451594</v>
      </c>
      <c r="Y61" s="24">
        <f t="shared" si="10"/>
        <v>4185.7217797161156</v>
      </c>
      <c r="Z61" s="1"/>
      <c r="AA61" s="25">
        <f>N61/M61</f>
        <v>22.06858128399525</v>
      </c>
      <c r="AB61" s="1">
        <f>P61/M61/(1+$V$5)</f>
        <v>0.56728271992166091</v>
      </c>
      <c r="AC61" s="1">
        <f>(1-AB61*(1+$V$5))/$P$6</f>
        <v>22.068581283995275</v>
      </c>
      <c r="AD61" s="26">
        <f t="shared" si="15"/>
        <v>2.4868995751603507E-14</v>
      </c>
      <c r="AE61" s="1">
        <f t="shared" si="16"/>
        <v>0.33669682185929078</v>
      </c>
      <c r="AF61" s="1">
        <f t="shared" si="17"/>
        <v>1.4887137537573203E-2</v>
      </c>
      <c r="AG61" s="1">
        <f t="shared" si="18"/>
        <v>38.721444735227834</v>
      </c>
      <c r="AH61" s="1">
        <f t="shared" si="19"/>
        <v>6.2226557622310938</v>
      </c>
      <c r="AI61" s="1">
        <f t="shared" si="20"/>
        <v>0.2819689984667903</v>
      </c>
    </row>
    <row r="62" spans="1:35" x14ac:dyDescent="0.45">
      <c r="A62" s="16">
        <f t="shared" si="11"/>
        <v>52</v>
      </c>
      <c r="B62" s="17">
        <f t="shared" si="12"/>
        <v>93321.999978410575</v>
      </c>
      <c r="C62" s="18">
        <f t="shared" si="0"/>
        <v>411.99999992428639</v>
      </c>
      <c r="D62" s="19">
        <v>4.4148217999999996E-3</v>
      </c>
      <c r="E62" s="20">
        <f t="shared" si="1"/>
        <v>0.99558517820000003</v>
      </c>
      <c r="F62" s="21">
        <f t="shared" si="2"/>
        <v>4.2433724080485156E-3</v>
      </c>
      <c r="G62" s="1"/>
      <c r="H62" s="22">
        <f t="shared" si="3"/>
        <v>2688456.9991232287</v>
      </c>
      <c r="I62" s="19">
        <f t="shared" si="13"/>
        <v>27.808394588041249</v>
      </c>
      <c r="J62" s="23">
        <f t="shared" si="14"/>
        <v>28.308394588041249</v>
      </c>
      <c r="K62" s="1"/>
      <c r="L62" s="3">
        <f t="shared" si="4"/>
        <v>52</v>
      </c>
      <c r="M62" s="24">
        <f t="shared" si="5"/>
        <v>33325.379669195681</v>
      </c>
      <c r="N62" s="24">
        <f t="shared" si="6"/>
        <v>719076.99159482145</v>
      </c>
      <c r="O62" s="24">
        <f t="shared" si="7"/>
        <v>144.24079672239395</v>
      </c>
      <c r="P62" s="24">
        <f t="shared" si="8"/>
        <v>19225.830814395234</v>
      </c>
      <c r="Q62" s="24">
        <f t="shared" si="8"/>
        <v>513529.62951078522</v>
      </c>
      <c r="R62" s="1"/>
      <c r="S62" s="1"/>
      <c r="T62" s="1"/>
      <c r="U62" s="3">
        <f>L62</f>
        <v>52</v>
      </c>
      <c r="V62" s="24">
        <f>B62*$Y$4^U62</f>
        <v>11900.52646056628</v>
      </c>
      <c r="W62" s="24">
        <f t="shared" si="9"/>
        <v>199923.23073935445</v>
      </c>
      <c r="X62" s="24">
        <f>C62*$Y$4^(U62+1)</f>
        <v>50.498561754695139</v>
      </c>
      <c r="Y62" s="24">
        <f t="shared" si="10"/>
        <v>4137.2637521176639</v>
      </c>
      <c r="Z62" s="1"/>
      <c r="AA62" s="25">
        <f>N62/M62</f>
        <v>21.577458343542904</v>
      </c>
      <c r="AB62" s="1">
        <f>P62/M62/(1+$V$5)</f>
        <v>0.57691258149915792</v>
      </c>
      <c r="AC62" s="1">
        <f>(1-AB62*(1+$V$5))/$P$6</f>
        <v>21.577458343542926</v>
      </c>
      <c r="AD62" s="26">
        <f t="shared" si="15"/>
        <v>2.1316282072803006E-14</v>
      </c>
      <c r="AE62" s="1">
        <f t="shared" si="16"/>
        <v>0.34765384252763509</v>
      </c>
      <c r="AF62" s="1">
        <f t="shared" si="17"/>
        <v>1.4825715835612541E-2</v>
      </c>
      <c r="AG62" s="1">
        <f t="shared" si="18"/>
        <v>38.561686888428149</v>
      </c>
      <c r="AH62" s="1">
        <f t="shared" si="19"/>
        <v>6.2098057045634008</v>
      </c>
      <c r="AI62" s="1">
        <f t="shared" si="20"/>
        <v>0.28779134250636601</v>
      </c>
    </row>
    <row r="63" spans="1:35" x14ac:dyDescent="0.45">
      <c r="A63" s="16">
        <f t="shared" si="11"/>
        <v>53</v>
      </c>
      <c r="B63" s="17">
        <f t="shared" si="12"/>
        <v>92909.999978486288</v>
      </c>
      <c r="C63" s="18">
        <f t="shared" si="0"/>
        <v>444.99999847995059</v>
      </c>
      <c r="D63" s="19">
        <v>4.7895812999999999E-3</v>
      </c>
      <c r="E63" s="20">
        <f t="shared" si="1"/>
        <v>0.99521041870000004</v>
      </c>
      <c r="F63" s="21">
        <f t="shared" si="2"/>
        <v>4.6119900904244915E-3</v>
      </c>
      <c r="G63" s="1"/>
      <c r="H63" s="22">
        <f t="shared" si="3"/>
        <v>2595134.9991448182</v>
      </c>
      <c r="I63" s="19">
        <f t="shared" si="13"/>
        <v>26.931708101880666</v>
      </c>
      <c r="J63" s="23">
        <f t="shared" si="14"/>
        <v>27.431708101880666</v>
      </c>
      <c r="K63" s="1"/>
      <c r="L63" s="3">
        <f t="shared" si="4"/>
        <v>53</v>
      </c>
      <c r="M63" s="24">
        <f t="shared" si="5"/>
        <v>32527.700055430232</v>
      </c>
      <c r="N63" s="24">
        <f t="shared" si="6"/>
        <v>685751.61192562571</v>
      </c>
      <c r="O63" s="24">
        <f t="shared" si="7"/>
        <v>152.73927835048519</v>
      </c>
      <c r="P63" s="24">
        <f t="shared" si="8"/>
        <v>19081.590017672839</v>
      </c>
      <c r="Q63" s="24">
        <f t="shared" si="8"/>
        <v>494303.79869639</v>
      </c>
      <c r="R63" s="1"/>
      <c r="S63" s="1"/>
      <c r="T63" s="1"/>
      <c r="U63" s="3">
        <f>L63</f>
        <v>53</v>
      </c>
      <c r="V63" s="24">
        <f>B63*$Y$4^U63</f>
        <v>11387.91595243819</v>
      </c>
      <c r="W63" s="24">
        <f t="shared" si="9"/>
        <v>188022.70427878818</v>
      </c>
      <c r="X63" s="24">
        <f>C63*$Y$4^(U63+1)</f>
        <v>52.425364563407051</v>
      </c>
      <c r="Y63" s="24">
        <f t="shared" si="10"/>
        <v>4086.7651903629685</v>
      </c>
      <c r="Z63" s="1"/>
      <c r="AA63" s="25">
        <f>N63/M63</f>
        <v>21.082081141828073</v>
      </c>
      <c r="AB63" s="1">
        <f>P63/M63/(1+$V$5)</f>
        <v>0.58662585996415462</v>
      </c>
      <c r="AC63" s="1">
        <f>(1-AB63*(1+$V$5))/$P$6</f>
        <v>21.082081141828095</v>
      </c>
      <c r="AD63" s="26">
        <f t="shared" si="15"/>
        <v>2.1316282072803006E-14</v>
      </c>
      <c r="AE63" s="1">
        <f t="shared" si="16"/>
        <v>0.35886857678186312</v>
      </c>
      <c r="AF63" s="1">
        <f t="shared" si="17"/>
        <v>1.4738677203179174E-2</v>
      </c>
      <c r="AG63" s="1">
        <f t="shared" si="18"/>
        <v>38.335299405468966</v>
      </c>
      <c r="AH63" s="1">
        <f t="shared" si="19"/>
        <v>6.1915506462815086</v>
      </c>
      <c r="AI63" s="1">
        <f t="shared" si="20"/>
        <v>0.29368782923414105</v>
      </c>
    </row>
    <row r="64" spans="1:35" x14ac:dyDescent="0.45">
      <c r="A64" s="16">
        <f t="shared" si="11"/>
        <v>54</v>
      </c>
      <c r="B64" s="17">
        <f t="shared" si="12"/>
        <v>92464.999980006338</v>
      </c>
      <c r="C64" s="18">
        <f t="shared" si="0"/>
        <v>477.99999957064574</v>
      </c>
      <c r="D64" s="19">
        <v>5.1695235999999999E-3</v>
      </c>
      <c r="E64" s="20">
        <f t="shared" si="1"/>
        <v>0.9948304764</v>
      </c>
      <c r="F64" s="21">
        <f t="shared" si="2"/>
        <v>4.9910776956155097E-3</v>
      </c>
      <c r="G64" s="1"/>
      <c r="H64" s="22">
        <f t="shared" si="3"/>
        <v>2502224.9991663317</v>
      </c>
      <c r="I64" s="19">
        <f t="shared" si="13"/>
        <v>26.06132049648393</v>
      </c>
      <c r="J64" s="23">
        <f t="shared" si="14"/>
        <v>26.56132049648393</v>
      </c>
      <c r="K64" s="1"/>
      <c r="L64" s="3">
        <f t="shared" si="4"/>
        <v>54</v>
      </c>
      <c r="M64" s="24">
        <f t="shared" si="5"/>
        <v>31737.162736777191</v>
      </c>
      <c r="N64" s="24">
        <f t="shared" si="6"/>
        <v>653223.91187019553</v>
      </c>
      <c r="O64" s="24">
        <f t="shared" si="7"/>
        <v>160.84903114197201</v>
      </c>
      <c r="P64" s="24">
        <f t="shared" si="8"/>
        <v>18928.850739322355</v>
      </c>
      <c r="Q64" s="24">
        <f t="shared" si="8"/>
        <v>475222.20867871714</v>
      </c>
      <c r="R64" s="1"/>
      <c r="S64" s="1"/>
      <c r="T64" s="1"/>
      <c r="U64" s="3">
        <f>L64</f>
        <v>54</v>
      </c>
      <c r="V64" s="24">
        <f>B64*$Y$4^U64</f>
        <v>10893.283932282218</v>
      </c>
      <c r="W64" s="24">
        <f t="shared" si="9"/>
        <v>176634.78832634998</v>
      </c>
      <c r="X64" s="24">
        <f>C64*$Y$4^(U64+1)</f>
        <v>54.126382515795967</v>
      </c>
      <c r="Y64" s="24">
        <f t="shared" si="10"/>
        <v>4034.3398257995614</v>
      </c>
      <c r="Z64" s="1"/>
      <c r="AA64" s="25">
        <f>N64/M64</f>
        <v>20.582303380044625</v>
      </c>
      <c r="AB64" s="1">
        <f>P64/M64/(1+$V$5)</f>
        <v>0.59642542392069298</v>
      </c>
      <c r="AC64" s="1">
        <f>(1-AB64*(1+$V$5))/$P$6</f>
        <v>20.582303380044639</v>
      </c>
      <c r="AD64" s="26">
        <f t="shared" si="15"/>
        <v>1.4210854715202004E-14</v>
      </c>
      <c r="AE64" s="1">
        <f t="shared" si="16"/>
        <v>0.370351112747902</v>
      </c>
      <c r="AF64" s="1">
        <f t="shared" si="17"/>
        <v>1.4627826448923686E-2</v>
      </c>
      <c r="AG64" s="1">
        <f t="shared" si="18"/>
        <v>38.046976593650442</v>
      </c>
      <c r="AH64" s="1">
        <f t="shared" si="19"/>
        <v>6.1682231309875979</v>
      </c>
      <c r="AI64" s="1">
        <f t="shared" si="20"/>
        <v>0.29968575514089157</v>
      </c>
    </row>
    <row r="65" spans="1:35" x14ac:dyDescent="0.45">
      <c r="A65" s="16">
        <f t="shared" si="11"/>
        <v>55</v>
      </c>
      <c r="B65" s="17">
        <f t="shared" si="12"/>
        <v>91986.999980435692</v>
      </c>
      <c r="C65" s="18">
        <f t="shared" si="0"/>
        <v>509.00000101394835</v>
      </c>
      <c r="D65" s="19">
        <v>5.5333906000000002E-3</v>
      </c>
      <c r="E65" s="20">
        <f t="shared" si="1"/>
        <v>0.99446660939999998</v>
      </c>
      <c r="F65" s="21">
        <f t="shared" si="2"/>
        <v>5.3648885211742678E-3</v>
      </c>
      <c r="G65" s="1"/>
      <c r="H65" s="22">
        <f t="shared" si="3"/>
        <v>2409759.9991863254</v>
      </c>
      <c r="I65" s="19">
        <f t="shared" si="13"/>
        <v>25.196745188981559</v>
      </c>
      <c r="J65" s="23">
        <f t="shared" si="14"/>
        <v>25.696745188981559</v>
      </c>
      <c r="K65" s="1"/>
      <c r="L65" s="3">
        <f t="shared" si="4"/>
        <v>55</v>
      </c>
      <c r="M65" s="24">
        <f t="shared" si="5"/>
        <v>30954.016397070955</v>
      </c>
      <c r="N65" s="24">
        <f t="shared" si="6"/>
        <v>621486.74913341831</v>
      </c>
      <c r="O65" s="24">
        <f t="shared" si="7"/>
        <v>167.92221898411776</v>
      </c>
      <c r="P65" s="24">
        <f t="shared" si="8"/>
        <v>18768.001708180382</v>
      </c>
      <c r="Q65" s="24">
        <f t="shared" si="8"/>
        <v>456293.35793939477</v>
      </c>
      <c r="R65" s="1"/>
      <c r="S65" s="1"/>
      <c r="T65" s="1"/>
      <c r="U65" s="3">
        <f>L65</f>
        <v>55</v>
      </c>
      <c r="V65" s="24">
        <f>B65*$Y$4^U65</f>
        <v>10416.158058355231</v>
      </c>
      <c r="W65" s="24">
        <f t="shared" si="9"/>
        <v>165741.50439406777</v>
      </c>
      <c r="X65" s="24">
        <f>C65*$Y$4^(U65+1)</f>
        <v>55.398568904476818</v>
      </c>
      <c r="Y65" s="24">
        <f t="shared" si="10"/>
        <v>3980.2134432837656</v>
      </c>
      <c r="Z65" s="1"/>
      <c r="AA65" s="25">
        <f>N65/M65</f>
        <v>20.07774180775542</v>
      </c>
      <c r="AB65" s="1">
        <f>P65/M65/(1+$V$5)</f>
        <v>0.60631878808322648</v>
      </c>
      <c r="AC65" s="1">
        <f>(1-AB65*(1+$V$5))/$P$6</f>
        <v>20.077741807755434</v>
      </c>
      <c r="AD65" s="26">
        <f t="shared" si="15"/>
        <v>1.4210854715202004E-14</v>
      </c>
      <c r="AE65" s="1">
        <f t="shared" si="16"/>
        <v>0.38211914805680891</v>
      </c>
      <c r="AF65" s="1">
        <f t="shared" si="17"/>
        <v>1.4496675274096427E-2</v>
      </c>
      <c r="AG65" s="1">
        <f t="shared" si="18"/>
        <v>37.705852387924743</v>
      </c>
      <c r="AH65" s="1">
        <f t="shared" si="19"/>
        <v>6.1405091310024726</v>
      </c>
      <c r="AI65" s="1">
        <f t="shared" si="20"/>
        <v>0.30583664187924664</v>
      </c>
    </row>
    <row r="66" spans="1:35" x14ac:dyDescent="0.45">
      <c r="A66" s="16">
        <f t="shared" si="11"/>
        <v>56</v>
      </c>
      <c r="B66" s="17">
        <f t="shared" si="12"/>
        <v>91477.999979421744</v>
      </c>
      <c r="C66" s="18">
        <f t="shared" si="0"/>
        <v>540.00000363712024</v>
      </c>
      <c r="D66" s="19">
        <v>5.9030586999999999E-3</v>
      </c>
      <c r="E66" s="20">
        <f t="shared" si="1"/>
        <v>0.99409694130000004</v>
      </c>
      <c r="F66" s="21">
        <f t="shared" si="2"/>
        <v>5.7336190389331004E-3</v>
      </c>
      <c r="G66" s="1"/>
      <c r="H66" s="22">
        <f t="shared" si="3"/>
        <v>2317772.9992058896</v>
      </c>
      <c r="I66" s="19">
        <f t="shared" si="13"/>
        <v>24.336944398951438</v>
      </c>
      <c r="J66" s="23">
        <f t="shared" si="14"/>
        <v>24.836944398951438</v>
      </c>
      <c r="K66" s="1"/>
      <c r="L66" s="3">
        <f t="shared" si="4"/>
        <v>56</v>
      </c>
      <c r="M66" s="24">
        <f t="shared" si="5"/>
        <v>30179.15268010506</v>
      </c>
      <c r="N66" s="24">
        <f t="shared" si="6"/>
        <v>590532.73273634736</v>
      </c>
      <c r="O66" s="24">
        <f t="shared" si="7"/>
        <v>174.65618606560861</v>
      </c>
      <c r="P66" s="24">
        <f t="shared" si="8"/>
        <v>18600.079489196265</v>
      </c>
      <c r="Q66" s="24">
        <f t="shared" si="8"/>
        <v>437525.35623121436</v>
      </c>
      <c r="R66" s="1"/>
      <c r="S66" s="1"/>
      <c r="T66" s="1"/>
      <c r="U66" s="3">
        <f>L66</f>
        <v>56</v>
      </c>
      <c r="V66" s="24">
        <f>B66*$Y$4^U66</f>
        <v>9956.2873772270395</v>
      </c>
      <c r="W66" s="24">
        <f t="shared" si="9"/>
        <v>155325.34633571253</v>
      </c>
      <c r="X66" s="24">
        <f>C66*$Y$4^(U66+1)</f>
        <v>56.490339121337662</v>
      </c>
      <c r="Y66" s="24">
        <f t="shared" si="10"/>
        <v>3924.814874379289</v>
      </c>
      <c r="Z66" s="1"/>
      <c r="AA66" s="25">
        <f>N66/M66</f>
        <v>19.567571661004354</v>
      </c>
      <c r="AB66" s="1">
        <f>P66/M66/(1+$V$5)</f>
        <v>0.61632212429403155</v>
      </c>
      <c r="AC66" s="1">
        <f>(1-AB66*(1+$V$5))/$P$6</f>
        <v>19.567571661004376</v>
      </c>
      <c r="AD66" s="26">
        <f t="shared" si="15"/>
        <v>2.1316282072803006E-14</v>
      </c>
      <c r="AE66" s="1">
        <f t="shared" si="16"/>
        <v>0.39420465939507693</v>
      </c>
      <c r="AF66" s="1">
        <f t="shared" si="17"/>
        <v>1.4351698500769283E-2</v>
      </c>
      <c r="AG66" s="1">
        <f t="shared" si="18"/>
        <v>37.328767800500842</v>
      </c>
      <c r="AH66" s="1">
        <f t="shared" si="19"/>
        <v>6.1097273098314986</v>
      </c>
      <c r="AI66" s="1">
        <f t="shared" si="20"/>
        <v>0.31223738007345064</v>
      </c>
    </row>
    <row r="67" spans="1:35" x14ac:dyDescent="0.45">
      <c r="A67" s="16">
        <f t="shared" si="11"/>
        <v>57</v>
      </c>
      <c r="B67" s="17">
        <f t="shared" si="12"/>
        <v>90937.999975784624</v>
      </c>
      <c r="C67" s="18">
        <f t="shared" si="0"/>
        <v>574.00000109356188</v>
      </c>
      <c r="D67" s="19">
        <v>6.3119928E-3</v>
      </c>
      <c r="E67" s="20">
        <f t="shared" si="1"/>
        <v>0.99368800719999995</v>
      </c>
      <c r="F67" s="21">
        <f t="shared" si="2"/>
        <v>6.1250522610312684E-3</v>
      </c>
      <c r="G67" s="1"/>
      <c r="H67" s="22">
        <f t="shared" si="3"/>
        <v>2226294.9992264677</v>
      </c>
      <c r="I67" s="19">
        <f t="shared" si="13"/>
        <v>23.481459893766033</v>
      </c>
      <c r="J67" s="23">
        <f t="shared" si="14"/>
        <v>23.981459893766033</v>
      </c>
      <c r="K67" s="1"/>
      <c r="L67" s="3">
        <f t="shared" si="4"/>
        <v>57</v>
      </c>
      <c r="M67" s="24">
        <f t="shared" si="5"/>
        <v>29412.748402272682</v>
      </c>
      <c r="N67" s="24">
        <f t="shared" si="6"/>
        <v>560353.5800562423</v>
      </c>
      <c r="O67" s="24">
        <f t="shared" si="7"/>
        <v>182.01280014054868</v>
      </c>
      <c r="P67" s="24">
        <f t="shared" si="8"/>
        <v>18425.423303130658</v>
      </c>
      <c r="Q67" s="24">
        <f t="shared" si="8"/>
        <v>418925.27674201812</v>
      </c>
      <c r="R67" s="1"/>
      <c r="S67" s="1"/>
      <c r="T67" s="1"/>
      <c r="U67" s="3">
        <f>L67</f>
        <v>57</v>
      </c>
      <c r="V67" s="24">
        <f>B67*$Y$4^U67</f>
        <v>9513.1822649031146</v>
      </c>
      <c r="W67" s="24">
        <f t="shared" si="9"/>
        <v>145369.05895848549</v>
      </c>
      <c r="X67" s="24">
        <f>C67*$Y$4^(U67+1)</f>
        <v>57.715434410954543</v>
      </c>
      <c r="Y67" s="24">
        <f t="shared" si="10"/>
        <v>3868.3245352579515</v>
      </c>
      <c r="Z67" s="1"/>
      <c r="AA67" s="25">
        <f>N67/M67</f>
        <v>19.051384535453497</v>
      </c>
      <c r="AB67" s="1">
        <f>P67/M67/(1+$V$5)</f>
        <v>0.6264434404813034</v>
      </c>
      <c r="AC67" s="1">
        <f>(1-AB67*(1+$V$5))/$P$6</f>
        <v>19.051384535453511</v>
      </c>
      <c r="AD67" s="26">
        <f t="shared" si="15"/>
        <v>1.4210854715202004E-14</v>
      </c>
      <c r="AE67" s="1">
        <f t="shared" si="16"/>
        <v>0.4066278168062985</v>
      </c>
      <c r="AF67" s="1">
        <f t="shared" si="17"/>
        <v>1.4196432684246196E-2</v>
      </c>
      <c r="AG67" s="1">
        <f t="shared" si="18"/>
        <v>36.924921411724291</v>
      </c>
      <c r="AH67" s="1">
        <f t="shared" si="19"/>
        <v>6.0765879744906428</v>
      </c>
      <c r="AI67" s="1">
        <f t="shared" si="20"/>
        <v>0.31895781449282457</v>
      </c>
    </row>
    <row r="68" spans="1:35" x14ac:dyDescent="0.45">
      <c r="A68" s="16">
        <f t="shared" si="11"/>
        <v>58</v>
      </c>
      <c r="B68" s="17">
        <f t="shared" si="12"/>
        <v>90363.999974691062</v>
      </c>
      <c r="C68" s="18">
        <f t="shared" si="0"/>
        <v>610.00000405675382</v>
      </c>
      <c r="D68" s="19">
        <v>6.7504758999999996E-3</v>
      </c>
      <c r="E68" s="20">
        <f t="shared" si="1"/>
        <v>0.9932495241</v>
      </c>
      <c r="F68" s="21">
        <f t="shared" si="2"/>
        <v>6.5512815141092013E-3</v>
      </c>
      <c r="G68" s="1"/>
      <c r="H68" s="22">
        <f t="shared" si="3"/>
        <v>2135356.999250683</v>
      </c>
      <c r="I68" s="19">
        <f t="shared" si="13"/>
        <v>22.630616172909001</v>
      </c>
      <c r="J68" s="23">
        <f t="shared" si="14"/>
        <v>23.130616172909001</v>
      </c>
      <c r="K68" s="1"/>
      <c r="L68" s="3">
        <f t="shared" si="4"/>
        <v>58</v>
      </c>
      <c r="M68" s="24">
        <f t="shared" si="5"/>
        <v>28654.015045224827</v>
      </c>
      <c r="N68" s="24">
        <f t="shared" si="6"/>
        <v>530940.8316539696</v>
      </c>
      <c r="O68" s="24">
        <f t="shared" si="7"/>
        <v>189.6355274519882</v>
      </c>
      <c r="P68" s="24">
        <f t="shared" si="8"/>
        <v>18243.410502990107</v>
      </c>
      <c r="Q68" s="24">
        <f t="shared" si="8"/>
        <v>400499.85343888745</v>
      </c>
      <c r="R68" s="1"/>
      <c r="S68" s="1"/>
      <c r="T68" s="1"/>
      <c r="U68" s="3">
        <f>L68</f>
        <v>58</v>
      </c>
      <c r="V68" s="24">
        <f>B68*$Y$4^U68</f>
        <v>9086.0583688407896</v>
      </c>
      <c r="W68" s="24">
        <f t="shared" si="9"/>
        <v>135855.87669358237</v>
      </c>
      <c r="X68" s="24">
        <f>C68*$Y$4^(U68+1)</f>
        <v>58.953496775137609</v>
      </c>
      <c r="Y68" s="24">
        <f t="shared" si="10"/>
        <v>3810.6091008469971</v>
      </c>
      <c r="Z68" s="1"/>
      <c r="AA68" s="25">
        <f>N68/M68</f>
        <v>18.529369472863824</v>
      </c>
      <c r="AB68" s="1">
        <f>P68/M68/(1+$V$5)</f>
        <v>0.63667902994384584</v>
      </c>
      <c r="AC68" s="1">
        <f>(1-AB68*(1+$V$5))/$P$6</f>
        <v>18.529369472863845</v>
      </c>
      <c r="AD68" s="26">
        <f t="shared" si="15"/>
        <v>2.1316282072803006E-14</v>
      </c>
      <c r="AE68" s="1">
        <f t="shared" si="16"/>
        <v>0.4193907793851383</v>
      </c>
      <c r="AF68" s="1">
        <f t="shared" si="17"/>
        <v>1.4030592214901771E-2</v>
      </c>
      <c r="AG68" s="1">
        <f t="shared" si="18"/>
        <v>36.493570350959445</v>
      </c>
      <c r="AH68" s="1">
        <f t="shared" si="19"/>
        <v>6.0409908418205243</v>
      </c>
      <c r="AI68" s="1">
        <f t="shared" si="20"/>
        <v>0.32602247209045765</v>
      </c>
    </row>
    <row r="69" spans="1:35" x14ac:dyDescent="0.45">
      <c r="A69" s="16">
        <f t="shared" si="11"/>
        <v>59</v>
      </c>
      <c r="B69" s="17">
        <f t="shared" si="12"/>
        <v>89753.999970634308</v>
      </c>
      <c r="C69" s="18">
        <f t="shared" si="0"/>
        <v>647.99999624858901</v>
      </c>
      <c r="D69" s="19">
        <v>7.2197338999999998E-3</v>
      </c>
      <c r="E69" s="20">
        <f t="shared" si="1"/>
        <v>0.99278026610000003</v>
      </c>
      <c r="F69" s="21">
        <f t="shared" si="2"/>
        <v>7.0080442137227033E-3</v>
      </c>
      <c r="G69" s="1"/>
      <c r="H69" s="22">
        <f t="shared" si="3"/>
        <v>2044992.9992759919</v>
      </c>
      <c r="I69" s="19">
        <f t="shared" si="13"/>
        <v>21.784421863594631</v>
      </c>
      <c r="J69" s="23">
        <f t="shared" si="14"/>
        <v>22.284421863594631</v>
      </c>
      <c r="K69" s="1"/>
      <c r="L69" s="3">
        <f t="shared" si="4"/>
        <v>59</v>
      </c>
      <c r="M69" s="24">
        <f t="shared" si="5"/>
        <v>27902.536085513522</v>
      </c>
      <c r="N69" s="24">
        <f t="shared" si="6"/>
        <v>502286.81660874473</v>
      </c>
      <c r="O69" s="24">
        <f t="shared" si="7"/>
        <v>197.49890752211348</v>
      </c>
      <c r="P69" s="24">
        <f t="shared" si="8"/>
        <v>18053.774975538119</v>
      </c>
      <c r="Q69" s="24">
        <f t="shared" si="8"/>
        <v>382256.44293589733</v>
      </c>
      <c r="R69" s="1"/>
      <c r="S69" s="1"/>
      <c r="T69" s="1"/>
      <c r="U69" s="3">
        <f>L69</f>
        <v>59</v>
      </c>
      <c r="V69" s="24">
        <f>B69*$Y$4^U69</f>
        <v>8674.2821518607598</v>
      </c>
      <c r="W69" s="24">
        <f t="shared" si="9"/>
        <v>126769.81832474159</v>
      </c>
      <c r="X69" s="24">
        <f>C69*$Y$4^(U69+1)</f>
        <v>60.194164657779915</v>
      </c>
      <c r="Y69" s="24">
        <f t="shared" si="10"/>
        <v>3751.6556040718597</v>
      </c>
      <c r="Z69" s="1"/>
      <c r="AA69" s="25">
        <f>N69/M69</f>
        <v>18.001475388092867</v>
      </c>
      <c r="AB69" s="1">
        <f>P69/M69/(1+$V$5)</f>
        <v>0.64702989435111968</v>
      </c>
      <c r="AC69" s="1">
        <f>(1-AB69*(1+$V$5))/$P$6</f>
        <v>18.001475388092882</v>
      </c>
      <c r="AD69" s="26">
        <f t="shared" si="15"/>
        <v>1.4210854715202004E-14</v>
      </c>
      <c r="AE69" s="1">
        <f t="shared" si="16"/>
        <v>0.43250329403535426</v>
      </c>
      <c r="AF69" s="1">
        <f t="shared" si="17"/>
        <v>1.3855609851333162E-2</v>
      </c>
      <c r="AG69" s="1">
        <f t="shared" si="18"/>
        <v>36.038441223317491</v>
      </c>
      <c r="AH69" s="1">
        <f t="shared" si="19"/>
        <v>6.003202580566267</v>
      </c>
      <c r="AI69" s="1">
        <f t="shared" si="20"/>
        <v>0.33348392013118572</v>
      </c>
    </row>
    <row r="70" spans="1:35" x14ac:dyDescent="0.45">
      <c r="A70" s="16">
        <f t="shared" si="11"/>
        <v>60</v>
      </c>
      <c r="B70" s="17">
        <f t="shared" si="12"/>
        <v>89105.999974385719</v>
      </c>
      <c r="C70" s="18">
        <f t="shared" si="0"/>
        <v>688.99999965414463</v>
      </c>
      <c r="D70" s="19">
        <v>7.7323636999999997E-3</v>
      </c>
      <c r="E70" s="20">
        <f t="shared" si="1"/>
        <v>0.99226763630000003</v>
      </c>
      <c r="F70" s="21">
        <f t="shared" si="2"/>
        <v>7.5023006098751243E-3</v>
      </c>
      <c r="G70" s="1"/>
      <c r="H70" s="22">
        <f t="shared" si="3"/>
        <v>1955238.9993053577</v>
      </c>
      <c r="I70" s="19">
        <f t="shared" si="13"/>
        <v>20.942843353617128</v>
      </c>
      <c r="J70" s="23">
        <f t="shared" si="14"/>
        <v>21.442843353617128</v>
      </c>
      <c r="K70" s="1"/>
      <c r="L70" s="3">
        <f t="shared" si="4"/>
        <v>60</v>
      </c>
      <c r="M70" s="24">
        <f t="shared" si="5"/>
        <v>27157.928627295067</v>
      </c>
      <c r="N70" s="24">
        <f t="shared" si="6"/>
        <v>474384.28052323119</v>
      </c>
      <c r="O70" s="24">
        <f t="shared" si="7"/>
        <v>205.87743282832179</v>
      </c>
      <c r="P70" s="24">
        <f t="shared" si="8"/>
        <v>17856.276068016006</v>
      </c>
      <c r="Q70" s="24">
        <f t="shared" si="8"/>
        <v>364202.66796035919</v>
      </c>
      <c r="R70" s="1"/>
      <c r="S70" s="1"/>
      <c r="T70" s="1"/>
      <c r="U70" s="3">
        <f>L70</f>
        <v>60</v>
      </c>
      <c r="V70" s="24">
        <f>B70*$Y$4^U70</f>
        <v>8277.2550393606361</v>
      </c>
      <c r="W70" s="24">
        <f t="shared" si="9"/>
        <v>118095.53617288082</v>
      </c>
      <c r="X70" s="24">
        <f>C70*$Y$4^(U70+1)</f>
        <v>61.517441755088996</v>
      </c>
      <c r="Y70" s="24">
        <f t="shared" si="10"/>
        <v>3691.4614394140799</v>
      </c>
      <c r="Z70" s="1"/>
      <c r="AA70" s="25">
        <f>N70/M70</f>
        <v>17.467616438407287</v>
      </c>
      <c r="AB70" s="1">
        <f>P70/M70/(1+$V$5)</f>
        <v>0.65749771689397407</v>
      </c>
      <c r="AC70" s="1">
        <f>(1-AB70*(1+$V$5))/$P$6</f>
        <v>17.467616438407308</v>
      </c>
      <c r="AD70" s="26">
        <f t="shared" si="15"/>
        <v>2.1316282072803006E-14</v>
      </c>
      <c r="AE70" s="1">
        <f t="shared" si="16"/>
        <v>0.44597652505089674</v>
      </c>
      <c r="AF70" s="1">
        <f t="shared" si="17"/>
        <v>1.3673277330108258E-2</v>
      </c>
      <c r="AG70" s="1">
        <f t="shared" si="18"/>
        <v>35.564194335611518</v>
      </c>
      <c r="AH70" s="1">
        <f t="shared" si="19"/>
        <v>5.9635722797339783</v>
      </c>
      <c r="AI70" s="1">
        <f t="shared" si="20"/>
        <v>0.34140732942941482</v>
      </c>
    </row>
    <row r="71" spans="1:35" x14ac:dyDescent="0.45">
      <c r="A71" s="16">
        <f t="shared" si="11"/>
        <v>61</v>
      </c>
      <c r="B71" s="17">
        <f t="shared" si="12"/>
        <v>88416.999974731574</v>
      </c>
      <c r="C71" s="18">
        <f t="shared" si="0"/>
        <v>742.99999584976467</v>
      </c>
      <c r="D71" s="19">
        <v>8.4033613000000004E-3</v>
      </c>
      <c r="E71" s="20">
        <f t="shared" si="1"/>
        <v>0.99159663870000003</v>
      </c>
      <c r="F71" s="21">
        <f t="shared" si="2"/>
        <v>8.0979901823922795E-3</v>
      </c>
      <c r="G71" s="1"/>
      <c r="H71" s="22">
        <f t="shared" si="3"/>
        <v>1866132.9993309721</v>
      </c>
      <c r="I71" s="19">
        <f t="shared" si="13"/>
        <v>20.106042954005321</v>
      </c>
      <c r="J71" s="23">
        <f t="shared" si="14"/>
        <v>20.606042954005321</v>
      </c>
      <c r="K71" s="1"/>
      <c r="L71" s="3">
        <f t="shared" si="4"/>
        <v>61</v>
      </c>
      <c r="M71" s="24">
        <f t="shared" si="5"/>
        <v>26419.542790009971</v>
      </c>
      <c r="N71" s="24">
        <f t="shared" si="6"/>
        <v>447226.35189593612</v>
      </c>
      <c r="O71" s="24">
        <f t="shared" si="7"/>
        <v>217.65976808359326</v>
      </c>
      <c r="P71" s="24">
        <f t="shared" si="8"/>
        <v>17650.398635187685</v>
      </c>
      <c r="Q71" s="24">
        <f t="shared" si="8"/>
        <v>346346.39189234318</v>
      </c>
      <c r="R71" s="1"/>
      <c r="S71" s="1"/>
      <c r="T71" s="1"/>
      <c r="U71" s="3">
        <f>L71</f>
        <v>61</v>
      </c>
      <c r="V71" s="24">
        <f>B71*$Y$4^U71</f>
        <v>7894.3216964231469</v>
      </c>
      <c r="W71" s="24">
        <f t="shared" si="9"/>
        <v>109818.28113352018</v>
      </c>
      <c r="X71" s="24">
        <f>C71*$Y$4^(U71+1)</f>
        <v>63.762819524676075</v>
      </c>
      <c r="Y71" s="24">
        <f t="shared" si="10"/>
        <v>3629.9439976589911</v>
      </c>
      <c r="Z71" s="1"/>
      <c r="AA71" s="25">
        <f>N71/M71</f>
        <v>16.927861146221119</v>
      </c>
      <c r="AB71" s="1">
        <f>P71/M71/(1+$V$5)</f>
        <v>0.66808115399566392</v>
      </c>
      <c r="AC71" s="1">
        <f>(1-AB71*(1+$V$5))/$P$6</f>
        <v>16.927861146221126</v>
      </c>
      <c r="AD71" s="26">
        <f t="shared" si="15"/>
        <v>7.1054273576010019E-15</v>
      </c>
      <c r="AE71" s="1">
        <f t="shared" si="16"/>
        <v>0.45981708590665732</v>
      </c>
      <c r="AF71" s="1">
        <f t="shared" si="17"/>
        <v>1.3484657582479298E-2</v>
      </c>
      <c r="AG71" s="1">
        <f t="shared" si="18"/>
        <v>35.073594372028595</v>
      </c>
      <c r="AH71" s="1">
        <f t="shared" si="19"/>
        <v>5.9222963765779735</v>
      </c>
      <c r="AI71" s="1">
        <f t="shared" si="20"/>
        <v>0.3498549713647689</v>
      </c>
    </row>
    <row r="72" spans="1:35" x14ac:dyDescent="0.45">
      <c r="A72" s="16">
        <f t="shared" si="11"/>
        <v>62</v>
      </c>
      <c r="B72" s="17">
        <f t="shared" si="12"/>
        <v>87673.99997888181</v>
      </c>
      <c r="C72" s="18">
        <f t="shared" si="0"/>
        <v>812.00000144420483</v>
      </c>
      <c r="D72" s="19">
        <v>9.2615826999999998E-3</v>
      </c>
      <c r="E72" s="20">
        <f t="shared" si="1"/>
        <v>0.99073841730000001</v>
      </c>
      <c r="F72" s="21">
        <f t="shared" si="2"/>
        <v>8.8680794629452577E-3</v>
      </c>
      <c r="G72" s="1"/>
      <c r="H72" s="22">
        <f t="shared" si="3"/>
        <v>1777715.9993562405</v>
      </c>
      <c r="I72" s="19">
        <f t="shared" si="13"/>
        <v>19.276433147620072</v>
      </c>
      <c r="J72" s="23">
        <f t="shared" si="14"/>
        <v>19.776433147620072</v>
      </c>
      <c r="K72" s="1"/>
      <c r="L72" s="3">
        <f t="shared" si="4"/>
        <v>62</v>
      </c>
      <c r="M72" s="24">
        <f t="shared" si="5"/>
        <v>25683.852771141868</v>
      </c>
      <c r="N72" s="24">
        <f t="shared" si="6"/>
        <v>420806.80910592614</v>
      </c>
      <c r="O72" s="24">
        <f t="shared" si="7"/>
        <v>233.20894754367893</v>
      </c>
      <c r="P72" s="24">
        <f t="shared" si="8"/>
        <v>17432.73886710409</v>
      </c>
      <c r="Q72" s="24">
        <f t="shared" si="8"/>
        <v>328695.99325715547</v>
      </c>
      <c r="R72" s="1"/>
      <c r="S72" s="1"/>
      <c r="T72" s="1"/>
      <c r="U72" s="3">
        <f>L72</f>
        <v>62</v>
      </c>
      <c r="V72" s="24">
        <f>B72*$Y$4^U72</f>
        <v>7524.0127441269433</v>
      </c>
      <c r="W72" s="24">
        <f t="shared" si="9"/>
        <v>101923.95943709704</v>
      </c>
      <c r="X72" s="24">
        <f>C72*$Y$4^(U72+1)</f>
        <v>66.978341277955565</v>
      </c>
      <c r="Y72" s="24">
        <f t="shared" si="10"/>
        <v>3566.1811781343149</v>
      </c>
      <c r="Z72" s="1"/>
      <c r="AA72" s="25">
        <f>N72/M72</f>
        <v>16.384099880012574</v>
      </c>
      <c r="AB72" s="1">
        <f>P72/M72/(1+$V$5)</f>
        <v>0.67874313960759614</v>
      </c>
      <c r="AC72" s="1">
        <f>(1-AB72*(1+$V$5))/$P$6</f>
        <v>16.384099880012585</v>
      </c>
      <c r="AD72" s="26">
        <f t="shared" si="15"/>
        <v>1.0658141036401503E-14</v>
      </c>
      <c r="AE72" s="1">
        <f t="shared" si="16"/>
        <v>0.47397330379563579</v>
      </c>
      <c r="AF72" s="1">
        <f t="shared" si="17"/>
        <v>1.3281054231259082E-2</v>
      </c>
      <c r="AG72" s="1">
        <f t="shared" si="18"/>
        <v>34.544022055504811</v>
      </c>
      <c r="AH72" s="1">
        <f t="shared" si="19"/>
        <v>5.8774162737979356</v>
      </c>
      <c r="AI72" s="1">
        <f t="shared" si="20"/>
        <v>0.35872683374983338</v>
      </c>
    </row>
    <row r="73" spans="1:35" x14ac:dyDescent="0.45">
      <c r="A73" s="16">
        <f t="shared" si="11"/>
        <v>63</v>
      </c>
      <c r="B73" s="17">
        <f t="shared" si="12"/>
        <v>86861.999977437605</v>
      </c>
      <c r="C73" s="18">
        <f t="shared" si="0"/>
        <v>885.00000142012141</v>
      </c>
      <c r="D73" s="19">
        <v>1.0188575E-2</v>
      </c>
      <c r="E73" s="20">
        <f t="shared" si="1"/>
        <v>0.98981142499999997</v>
      </c>
      <c r="F73" s="21">
        <f t="shared" si="2"/>
        <v>9.7683682352761956E-3</v>
      </c>
      <c r="G73" s="1"/>
      <c r="H73" s="22">
        <f t="shared" si="3"/>
        <v>1690041.9993773587</v>
      </c>
      <c r="I73" s="19">
        <f t="shared" si="13"/>
        <v>18.456632357260332</v>
      </c>
      <c r="J73" s="23">
        <f t="shared" si="14"/>
        <v>18.956632357260332</v>
      </c>
      <c r="K73" s="1"/>
      <c r="L73" s="3">
        <f t="shared" si="4"/>
        <v>63</v>
      </c>
      <c r="M73" s="24">
        <f t="shared" si="5"/>
        <v>24947.038867301297</v>
      </c>
      <c r="N73" s="24">
        <f t="shared" si="6"/>
        <v>395122.95633478428</v>
      </c>
      <c r="O73" s="24">
        <f t="shared" si="7"/>
        <v>249.19095737981792</v>
      </c>
      <c r="P73" s="24">
        <f t="shared" si="8"/>
        <v>17199.529919560409</v>
      </c>
      <c r="Q73" s="24">
        <f t="shared" si="8"/>
        <v>311263.25439005136</v>
      </c>
      <c r="R73" s="1"/>
      <c r="S73" s="1"/>
      <c r="T73" s="1"/>
      <c r="U73" s="3">
        <f>L73</f>
        <v>63</v>
      </c>
      <c r="V73" s="24">
        <f>B73*$Y$4^U73</f>
        <v>7164.8678180136058</v>
      </c>
      <c r="W73" s="24">
        <f t="shared" si="9"/>
        <v>94399.946692970101</v>
      </c>
      <c r="X73" s="24">
        <f>C73*$Y$4^(U73+1)</f>
        <v>70.165122192347155</v>
      </c>
      <c r="Y73" s="24">
        <f t="shared" si="10"/>
        <v>3499.2028368563592</v>
      </c>
      <c r="Z73" s="1"/>
      <c r="AA73" s="25">
        <f>N73/M73</f>
        <v>15.838471188365435</v>
      </c>
      <c r="AB73" s="1">
        <f>P73/M73/(1+$V$5)</f>
        <v>0.68944174140459857</v>
      </c>
      <c r="AC73" s="1">
        <f>(1-AB73*(1+$V$5))/$P$6</f>
        <v>15.838471188365459</v>
      </c>
      <c r="AD73" s="26">
        <f t="shared" si="15"/>
        <v>2.3092638912203256E-14</v>
      </c>
      <c r="AE73" s="1">
        <f t="shared" si="16"/>
        <v>0.48838344624569519</v>
      </c>
      <c r="AF73" s="1">
        <f t="shared" si="17"/>
        <v>1.3053531454689793E-2</v>
      </c>
      <c r="AG73" s="1">
        <f t="shared" si="18"/>
        <v>33.952235313648096</v>
      </c>
      <c r="AH73" s="1">
        <f t="shared" si="19"/>
        <v>5.8268546672838939</v>
      </c>
      <c r="AI73" s="1">
        <f t="shared" si="20"/>
        <v>0.36789249404097557</v>
      </c>
    </row>
    <row r="74" spans="1:35" x14ac:dyDescent="0.45">
      <c r="A74" s="16">
        <f t="shared" si="11"/>
        <v>64</v>
      </c>
      <c r="B74" s="17">
        <f t="shared" si="12"/>
        <v>85976.999976017483</v>
      </c>
      <c r="C74" s="18">
        <f t="shared" ref="C74:C117" si="21">+B74-B75</f>
        <v>961.9999972369551</v>
      </c>
      <c r="D74" s="19">
        <v>1.11890389E-2</v>
      </c>
      <c r="E74" s="20">
        <f t="shared" ref="E74:E116" si="22">1-D74</f>
        <v>0.9888109611</v>
      </c>
      <c r="F74" s="21">
        <f t="shared" ref="F74:F116" si="23">0.5*(C73+C74)/B74</f>
        <v>1.07412447466897E-2</v>
      </c>
      <c r="G74" s="1"/>
      <c r="H74" s="22">
        <f t="shared" ref="H74:H128" si="24">+H75+B74</f>
        <v>1603179.9993999212</v>
      </c>
      <c r="I74" s="19">
        <f t="shared" si="13"/>
        <v>17.646614790549961</v>
      </c>
      <c r="J74" s="23">
        <f t="shared" si="14"/>
        <v>18.146614790549961</v>
      </c>
      <c r="K74" s="1"/>
      <c r="L74" s="3">
        <f t="shared" ref="L74:L137" si="25">A74</f>
        <v>64</v>
      </c>
      <c r="M74" s="24">
        <f t="shared" ref="M74:M137" si="26">B74*$P$4^L74</f>
        <v>24208.690285072429</v>
      </c>
      <c r="N74" s="24">
        <f t="shared" ref="N74:N137" si="27">N75+M74</f>
        <v>370175.91746748297</v>
      </c>
      <c r="O74" s="24">
        <f t="shared" ref="O74:O137" si="28">C74*$P$4^(L74+1)</f>
        <v>265.56076207620242</v>
      </c>
      <c r="P74" s="24">
        <f t="shared" ref="P74:Q137" si="29">P75+O74</f>
        <v>16950.338962180591</v>
      </c>
      <c r="Q74" s="24">
        <f t="shared" si="29"/>
        <v>294063.72447049094</v>
      </c>
      <c r="R74" s="1"/>
      <c r="S74" s="1"/>
      <c r="T74" s="1"/>
      <c r="U74" s="3">
        <f>L74</f>
        <v>64</v>
      </c>
      <c r="V74" s="24">
        <f>B74*$Y$4^U74</f>
        <v>6816.4821461790543</v>
      </c>
      <c r="W74" s="24">
        <f t="shared" ref="W74:W137" si="30">W75+V74</f>
        <v>87235.078874956496</v>
      </c>
      <c r="X74" s="24">
        <f>C74*$Y$4^(U74+1)</f>
        <v>73.30823134828205</v>
      </c>
      <c r="Y74" s="24">
        <f t="shared" ref="Y74:Y137" si="31">Y75+X74</f>
        <v>3429.0377146640121</v>
      </c>
      <c r="Z74" s="1"/>
      <c r="AA74" s="25">
        <f>N74/M74</f>
        <v>15.291034463592645</v>
      </c>
      <c r="AB74" s="1">
        <f>P74/M74/(1+$V$5)</f>
        <v>0.70017579483151615</v>
      </c>
      <c r="AC74" s="1">
        <f>(1-AB74*(1+$V$5))/$P$6</f>
        <v>15.291034463592663</v>
      </c>
      <c r="AD74" s="26">
        <f t="shared" si="15"/>
        <v>1.7763568394002505E-14</v>
      </c>
      <c r="AE74" s="1">
        <f t="shared" si="16"/>
        <v>0.5030509346505283</v>
      </c>
      <c r="AF74" s="1">
        <f t="shared" si="17"/>
        <v>1.2804790982582914E-2</v>
      </c>
      <c r="AG74" s="1">
        <f t="shared" si="18"/>
        <v>33.305261345698099</v>
      </c>
      <c r="AH74" s="1">
        <f t="shared" si="19"/>
        <v>5.7710710743932188</v>
      </c>
      <c r="AI74" s="1">
        <f t="shared" si="20"/>
        <v>0.3774153467598228</v>
      </c>
    </row>
    <row r="75" spans="1:35" x14ac:dyDescent="0.45">
      <c r="A75" s="16">
        <f t="shared" ref="A75:A130" si="32">+A74+1</f>
        <v>65</v>
      </c>
      <c r="B75" s="17">
        <f t="shared" ref="B75:B117" si="33">+B74*(1-D74)</f>
        <v>85014.999978780528</v>
      </c>
      <c r="C75" s="18">
        <f t="shared" si="21"/>
        <v>1048.9999997231789</v>
      </c>
      <c r="D75" s="19">
        <v>1.2338999E-2</v>
      </c>
      <c r="E75" s="20">
        <f t="shared" si="22"/>
        <v>0.98766100099999998</v>
      </c>
      <c r="F75" s="21">
        <f t="shared" si="23"/>
        <v>1.1827324574851927E-2</v>
      </c>
      <c r="G75" s="1"/>
      <c r="H75" s="22">
        <f t="shared" si="24"/>
        <v>1517202.9994239036</v>
      </c>
      <c r="I75" s="19">
        <f t="shared" ref="I75:I138" si="34">+H76/B75</f>
        <v>16.846297709846411</v>
      </c>
      <c r="J75" s="23">
        <f t="shared" ref="J75:J138" si="35">I75+0.5</f>
        <v>17.346297709846411</v>
      </c>
      <c r="K75" s="1"/>
      <c r="L75" s="3">
        <f t="shared" si="25"/>
        <v>65</v>
      </c>
      <c r="M75" s="24">
        <f t="shared" si="26"/>
        <v>23468.449321328138</v>
      </c>
      <c r="N75" s="24">
        <f t="shared" si="27"/>
        <v>345967.22718241054</v>
      </c>
      <c r="O75" s="24">
        <f t="shared" si="28"/>
        <v>283.89918892884339</v>
      </c>
      <c r="P75" s="24">
        <f t="shared" si="29"/>
        <v>16684.778200104389</v>
      </c>
      <c r="Q75" s="24">
        <f t="shared" si="29"/>
        <v>277113.38550831034</v>
      </c>
      <c r="R75" s="1"/>
      <c r="S75" s="1"/>
      <c r="T75" s="1"/>
      <c r="U75" s="3">
        <f>L75</f>
        <v>65</v>
      </c>
      <c r="V75" s="24">
        <f>B75*$Y$4^U75</f>
        <v>6478.4816054251269</v>
      </c>
      <c r="W75" s="24">
        <f t="shared" si="30"/>
        <v>80418.59672877744</v>
      </c>
      <c r="X75" s="24">
        <f>C75*$Y$4^(U75+1)</f>
        <v>76.833888937773438</v>
      </c>
      <c r="Y75" s="24">
        <f t="shared" si="31"/>
        <v>3355.7294833157302</v>
      </c>
      <c r="Z75" s="1"/>
      <c r="AA75" s="25">
        <f>N75/M75</f>
        <v>14.74180174605722</v>
      </c>
      <c r="AB75" s="1">
        <f>P75/M75/(1+$V$5)</f>
        <v>0.71094506380279898</v>
      </c>
      <c r="AC75" s="1">
        <f>(1-AB75*(1+$V$5))/$P$6</f>
        <v>14.74180174605724</v>
      </c>
      <c r="AD75" s="26">
        <f t="shared" ref="AD75:AD120" si="36">ABS(AA75-AC75)</f>
        <v>1.9539925233402755E-14</v>
      </c>
      <c r="AE75" s="1">
        <f t="shared" ref="AE75:AE120" si="37">Y75/V75/(1+$V$5)^2</f>
        <v>0.51798086151940581</v>
      </c>
      <c r="AF75" s="1">
        <f t="shared" ref="AF75:AF120" si="38">(AE75-AB75^2)</f>
        <v>1.2537977773839915E-2</v>
      </c>
      <c r="AG75" s="1">
        <f t="shared" ref="AG75:AG120" si="39">(AE75-AB75^2)/$P$6^2</f>
        <v>32.611280189757565</v>
      </c>
      <c r="AH75" s="1">
        <f t="shared" ref="AH75:AH120" si="40">AG75^0.5</f>
        <v>5.710628703545483</v>
      </c>
      <c r="AI75" s="1">
        <f t="shared" ref="AI75:AI120" si="41">+AH75/AA75</f>
        <v>0.38737657729475461</v>
      </c>
    </row>
    <row r="76" spans="1:35" x14ac:dyDescent="0.45">
      <c r="A76" s="16">
        <f t="shared" si="32"/>
        <v>66</v>
      </c>
      <c r="B76" s="17">
        <f t="shared" si="33"/>
        <v>83965.999979057349</v>
      </c>
      <c r="C76" s="18">
        <f t="shared" si="21"/>
        <v>1148.0000036898709</v>
      </c>
      <c r="D76" s="19">
        <v>1.36722007E-2</v>
      </c>
      <c r="E76" s="20">
        <f t="shared" si="22"/>
        <v>0.98632779930000003</v>
      </c>
      <c r="F76" s="21">
        <f t="shared" si="23"/>
        <v>1.3082676344955231E-2</v>
      </c>
      <c r="G76" s="1"/>
      <c r="H76" s="22">
        <f t="shared" si="24"/>
        <v>1432187.9994451231</v>
      </c>
      <c r="I76" s="19">
        <f t="shared" si="34"/>
        <v>16.056761067602803</v>
      </c>
      <c r="J76" s="23">
        <f t="shared" si="35"/>
        <v>16.556761067602803</v>
      </c>
      <c r="K76" s="1"/>
      <c r="L76" s="3">
        <f t="shared" si="25"/>
        <v>66</v>
      </c>
      <c r="M76" s="24">
        <f t="shared" si="26"/>
        <v>22724.384459432076</v>
      </c>
      <c r="N76" s="24">
        <f t="shared" si="27"/>
        <v>322498.7778610824</v>
      </c>
      <c r="O76" s="24">
        <f t="shared" si="28"/>
        <v>304.60033834638938</v>
      </c>
      <c r="P76" s="24">
        <f t="shared" si="29"/>
        <v>16400.879011175544</v>
      </c>
      <c r="Q76" s="24">
        <f t="shared" si="29"/>
        <v>260428.60730820594</v>
      </c>
      <c r="R76" s="1"/>
      <c r="S76" s="1"/>
      <c r="T76" s="1"/>
      <c r="U76" s="3">
        <f>L76</f>
        <v>66</v>
      </c>
      <c r="V76" s="24">
        <f>B76*$Y$4^U76</f>
        <v>6150.0803800214026</v>
      </c>
      <c r="W76" s="24">
        <f t="shared" si="30"/>
        <v>73940.115123352312</v>
      </c>
      <c r="X76" s="24">
        <f>C76*$Y$4^(U76+1)</f>
        <v>80.820005071881099</v>
      </c>
      <c r="Y76" s="24">
        <f t="shared" si="31"/>
        <v>3278.895594377957</v>
      </c>
      <c r="Z76" s="1"/>
      <c r="AA76" s="25">
        <f>N76/M76</f>
        <v>14.191749767163648</v>
      </c>
      <c r="AB76" s="1">
        <f>P76/M76/(1+$V$5)</f>
        <v>0.72173039672228079</v>
      </c>
      <c r="AC76" s="1">
        <f>(1-AB76*(1+$V$5))/$P$6</f>
        <v>14.191749767163667</v>
      </c>
      <c r="AD76" s="26">
        <f t="shared" si="36"/>
        <v>1.9539925233402755E-14</v>
      </c>
      <c r="AE76" s="1">
        <f t="shared" si="37"/>
        <v>0.53314678699639151</v>
      </c>
      <c r="AF76" s="1">
        <f t="shared" si="38"/>
        <v>1.225202144349069E-2</v>
      </c>
      <c r="AG76" s="1">
        <f t="shared" si="39"/>
        <v>31.867507774519233</v>
      </c>
      <c r="AH76" s="1">
        <f t="shared" si="40"/>
        <v>5.6451313336820812</v>
      </c>
      <c r="AI76" s="1">
        <f t="shared" si="41"/>
        <v>0.39777556864366226</v>
      </c>
    </row>
    <row r="77" spans="1:35" x14ac:dyDescent="0.45">
      <c r="A77" s="16">
        <f t="shared" si="32"/>
        <v>67</v>
      </c>
      <c r="B77" s="17">
        <f t="shared" si="33"/>
        <v>82817.999975367478</v>
      </c>
      <c r="C77" s="18">
        <f t="shared" si="21"/>
        <v>1257.0000008243223</v>
      </c>
      <c r="D77" s="19">
        <v>1.51778599E-2</v>
      </c>
      <c r="E77" s="20">
        <f t="shared" si="22"/>
        <v>0.98482214010000002</v>
      </c>
      <c r="F77" s="21">
        <f t="shared" si="23"/>
        <v>1.4519790415305316E-2</v>
      </c>
      <c r="G77" s="1"/>
      <c r="H77" s="22">
        <f t="shared" si="24"/>
        <v>1348221.9994660658</v>
      </c>
      <c r="I77" s="19">
        <f t="shared" si="34"/>
        <v>15.279335408571407</v>
      </c>
      <c r="J77" s="23">
        <f t="shared" si="35"/>
        <v>15.779335408571407</v>
      </c>
      <c r="K77" s="1"/>
      <c r="L77" s="3">
        <f t="shared" si="25"/>
        <v>67</v>
      </c>
      <c r="M77" s="24">
        <f t="shared" si="26"/>
        <v>21974.207955214468</v>
      </c>
      <c r="N77" s="24">
        <f t="shared" si="27"/>
        <v>299774.3934016503</v>
      </c>
      <c r="O77" s="24">
        <f t="shared" si="28"/>
        <v>326.98181348794935</v>
      </c>
      <c r="P77" s="24">
        <f t="shared" si="29"/>
        <v>16096.278672829156</v>
      </c>
      <c r="Q77" s="24">
        <f t="shared" si="29"/>
        <v>244027.72829703041</v>
      </c>
      <c r="R77" s="1"/>
      <c r="S77" s="1"/>
      <c r="T77" s="1"/>
      <c r="U77" s="3">
        <f>L77</f>
        <v>67</v>
      </c>
      <c r="V77" s="24">
        <f>B77*$Y$4^U77</f>
        <v>5830.4452583089351</v>
      </c>
      <c r="W77" s="24">
        <f t="shared" si="30"/>
        <v>67790.034743330907</v>
      </c>
      <c r="X77" s="24">
        <f>C77*$Y$4^(U77+1)</f>
        <v>85.057363788188894</v>
      </c>
      <c r="Y77" s="24">
        <f t="shared" si="31"/>
        <v>3198.0755893060759</v>
      </c>
      <c r="Z77" s="1"/>
      <c r="AA77" s="25">
        <f>N77/M77</f>
        <v>13.642102323442971</v>
      </c>
      <c r="AB77" s="1">
        <f>P77/M77/(1+$V$5)</f>
        <v>0.73250779757954909</v>
      </c>
      <c r="AC77" s="1">
        <f>(1-AB77*(1+$V$5))/$P$6</f>
        <v>13.642102323442984</v>
      </c>
      <c r="AD77" s="26">
        <f t="shared" si="36"/>
        <v>1.2434497875801753E-14</v>
      </c>
      <c r="AE77" s="1">
        <f t="shared" si="37"/>
        <v>0.54851309764867717</v>
      </c>
      <c r="AF77" s="1">
        <f t="shared" si="38"/>
        <v>1.1945424133835481E-2</v>
      </c>
      <c r="AG77" s="1">
        <f t="shared" si="39"/>
        <v>31.070048172106031</v>
      </c>
      <c r="AH77" s="1">
        <f t="shared" si="40"/>
        <v>5.5740513248539463</v>
      </c>
      <c r="AI77" s="1">
        <f t="shared" si="41"/>
        <v>0.40859181324826599</v>
      </c>
    </row>
    <row r="78" spans="1:35" x14ac:dyDescent="0.45">
      <c r="A78" s="16">
        <f t="shared" si="32"/>
        <v>68</v>
      </c>
      <c r="B78" s="17">
        <f t="shared" si="33"/>
        <v>81560.999974543156</v>
      </c>
      <c r="C78" s="18">
        <f t="shared" si="21"/>
        <v>1379.9999996046681</v>
      </c>
      <c r="D78" s="19">
        <v>1.6919851400000002E-2</v>
      </c>
      <c r="E78" s="20">
        <f t="shared" si="22"/>
        <v>0.98308014860000004</v>
      </c>
      <c r="F78" s="21">
        <f t="shared" si="23"/>
        <v>1.6165814551391301E-2</v>
      </c>
      <c r="G78" s="1"/>
      <c r="H78" s="22">
        <f t="shared" si="24"/>
        <v>1265403.9994906983</v>
      </c>
      <c r="I78" s="19">
        <f t="shared" si="34"/>
        <v>14.514817129334567</v>
      </c>
      <c r="J78" s="23">
        <f t="shared" si="35"/>
        <v>15.014817129334567</v>
      </c>
      <c r="K78" s="1"/>
      <c r="L78" s="3">
        <f t="shared" si="25"/>
        <v>68</v>
      </c>
      <c r="M78" s="24">
        <f t="shared" si="26"/>
        <v>21216.359319075254</v>
      </c>
      <c r="N78" s="24">
        <f t="shared" si="27"/>
        <v>277800.18544643582</v>
      </c>
      <c r="O78" s="24">
        <f t="shared" si="28"/>
        <v>351.93886953701661</v>
      </c>
      <c r="P78" s="24">
        <f t="shared" si="29"/>
        <v>15769.296859341206</v>
      </c>
      <c r="Q78" s="24">
        <f t="shared" si="29"/>
        <v>227931.44962420125</v>
      </c>
      <c r="R78" s="1"/>
      <c r="S78" s="1"/>
      <c r="T78" s="1"/>
      <c r="U78" s="3">
        <f>L78</f>
        <v>68</v>
      </c>
      <c r="V78" s="24">
        <f>B78*$Y$4^U78</f>
        <v>5518.9845992154014</v>
      </c>
      <c r="W78" s="24">
        <f t="shared" si="30"/>
        <v>61959.58948502197</v>
      </c>
      <c r="X78" s="24">
        <f>C78*$Y$4^(U78+1)</f>
        <v>89.754324584402866</v>
      </c>
      <c r="Y78" s="24">
        <f t="shared" si="31"/>
        <v>3113.018225517887</v>
      </c>
      <c r="Z78" s="1"/>
      <c r="AA78" s="25">
        <f>N78/M78</f>
        <v>13.093678386030659</v>
      </c>
      <c r="AB78" s="1">
        <f>P78/M78/(1+$V$5)</f>
        <v>0.74326120811704532</v>
      </c>
      <c r="AC78" s="1">
        <f>(1-AB78*(1+$V$5))/$P$6</f>
        <v>13.093678386030676</v>
      </c>
      <c r="AD78" s="26">
        <f t="shared" si="36"/>
        <v>1.7763568394002505E-14</v>
      </c>
      <c r="AE78" s="1">
        <f t="shared" si="37"/>
        <v>0.56405633492081941</v>
      </c>
      <c r="AF78" s="1">
        <f t="shared" si="38"/>
        <v>1.1619111429209683E-2</v>
      </c>
      <c r="AG78" s="1">
        <f t="shared" si="39"/>
        <v>30.221308827374333</v>
      </c>
      <c r="AH78" s="1">
        <f t="shared" si="40"/>
        <v>5.4973910928161489</v>
      </c>
      <c r="AI78" s="1">
        <f t="shared" si="41"/>
        <v>0.41985078071576798</v>
      </c>
    </row>
    <row r="79" spans="1:35" x14ac:dyDescent="0.45">
      <c r="A79" s="16">
        <f t="shared" si="32"/>
        <v>69</v>
      </c>
      <c r="B79" s="17">
        <f t="shared" si="33"/>
        <v>80180.999974938488</v>
      </c>
      <c r="C79" s="18">
        <f t="shared" si="21"/>
        <v>1521.9999991353834</v>
      </c>
      <c r="D79" s="19">
        <v>1.89820531E-2</v>
      </c>
      <c r="E79" s="20">
        <f t="shared" si="22"/>
        <v>0.98101794689999999</v>
      </c>
      <c r="F79" s="21">
        <f t="shared" si="23"/>
        <v>1.8096556538625769E-2</v>
      </c>
      <c r="G79" s="1"/>
      <c r="H79" s="22">
        <f t="shared" si="24"/>
        <v>1183842.9995161551</v>
      </c>
      <c r="I79" s="19">
        <f t="shared" si="34"/>
        <v>13.76463251750638</v>
      </c>
      <c r="J79" s="23">
        <f t="shared" si="35"/>
        <v>14.26463251750638</v>
      </c>
      <c r="K79" s="1"/>
      <c r="L79" s="3">
        <f t="shared" si="25"/>
        <v>69</v>
      </c>
      <c r="M79" s="24">
        <f t="shared" si="26"/>
        <v>20448.413404066174</v>
      </c>
      <c r="N79" s="24">
        <f t="shared" si="27"/>
        <v>256583.82612736055</v>
      </c>
      <c r="O79" s="24">
        <f t="shared" si="28"/>
        <v>380.54202847719256</v>
      </c>
      <c r="P79" s="24">
        <f t="shared" si="29"/>
        <v>15417.35798980419</v>
      </c>
      <c r="Q79" s="24">
        <f t="shared" si="29"/>
        <v>212162.15276486005</v>
      </c>
      <c r="R79" s="1"/>
      <c r="S79" s="1"/>
      <c r="T79" s="1"/>
      <c r="U79" s="3">
        <f>L79</f>
        <v>69</v>
      </c>
      <c r="V79" s="24">
        <f>B79*$Y$4^U79</f>
        <v>5214.9213763146745</v>
      </c>
      <c r="W79" s="24">
        <f t="shared" si="30"/>
        <v>56440.60488580657</v>
      </c>
      <c r="X79" s="24">
        <f>C79*$Y$4^(U79+1)</f>
        <v>95.146015453220286</v>
      </c>
      <c r="Y79" s="24">
        <f t="shared" si="31"/>
        <v>3023.2639009334844</v>
      </c>
      <c r="Z79" s="1"/>
      <c r="AA79" s="25">
        <f>N79/M79</f>
        <v>12.547859878279787</v>
      </c>
      <c r="AB79" s="1">
        <f>P79/M79/(1+$V$5)</f>
        <v>0.75396353179843489</v>
      </c>
      <c r="AC79" s="1">
        <f>(1-AB79*(1+$V$5))/$P$6</f>
        <v>12.547859878279809</v>
      </c>
      <c r="AD79" s="26">
        <f t="shared" si="36"/>
        <v>2.1316282072803006E-14</v>
      </c>
      <c r="AE79" s="1">
        <f t="shared" si="37"/>
        <v>0.5797333617846393</v>
      </c>
      <c r="AF79" s="1">
        <f t="shared" si="38"/>
        <v>1.1272354502669724E-2</v>
      </c>
      <c r="AG79" s="1">
        <f t="shared" si="39"/>
        <v>29.319394061443901</v>
      </c>
      <c r="AH79" s="1">
        <f t="shared" si="40"/>
        <v>5.4147385958551961</v>
      </c>
      <c r="AI79" s="1">
        <f t="shared" si="41"/>
        <v>0.43152686182191524</v>
      </c>
    </row>
    <row r="80" spans="1:35" x14ac:dyDescent="0.45">
      <c r="A80" s="16">
        <f t="shared" si="32"/>
        <v>70</v>
      </c>
      <c r="B80" s="17">
        <f t="shared" si="33"/>
        <v>78658.999975803104</v>
      </c>
      <c r="C80" s="18">
        <f t="shared" si="21"/>
        <v>1676.9999999137362</v>
      </c>
      <c r="D80" s="19">
        <v>2.1319874400000001E-2</v>
      </c>
      <c r="E80" s="20">
        <f t="shared" si="22"/>
        <v>0.97868012559999995</v>
      </c>
      <c r="F80" s="21">
        <f t="shared" si="23"/>
        <v>2.0334608881584997E-2</v>
      </c>
      <c r="G80" s="1"/>
      <c r="H80" s="22">
        <f t="shared" si="24"/>
        <v>1103661.9995412165</v>
      </c>
      <c r="I80" s="19">
        <f t="shared" si="34"/>
        <v>13.030969118355465</v>
      </c>
      <c r="J80" s="23">
        <f t="shared" si="35"/>
        <v>13.530969118355465</v>
      </c>
      <c r="K80" s="1"/>
      <c r="L80" s="3">
        <f t="shared" si="25"/>
        <v>70</v>
      </c>
      <c r="M80" s="24">
        <f t="shared" si="26"/>
        <v>19666.92209315631</v>
      </c>
      <c r="N80" s="24">
        <f t="shared" si="27"/>
        <v>236135.41272329437</v>
      </c>
      <c r="O80" s="24">
        <f t="shared" si="28"/>
        <v>411.07481260851017</v>
      </c>
      <c r="P80" s="24">
        <f t="shared" si="29"/>
        <v>15036.815961326998</v>
      </c>
      <c r="Q80" s="24">
        <f t="shared" si="29"/>
        <v>196744.79477505587</v>
      </c>
      <c r="R80" s="1"/>
      <c r="S80" s="1"/>
      <c r="T80" s="1"/>
      <c r="U80" s="3">
        <f>L80</f>
        <v>70</v>
      </c>
      <c r="V80" s="24">
        <f>B80*$Y$4^U80</f>
        <v>4917.2736080710729</v>
      </c>
      <c r="W80" s="24">
        <f t="shared" si="30"/>
        <v>51225.683509491893</v>
      </c>
      <c r="X80" s="24">
        <f>C80*$Y$4^(U80+1)</f>
        <v>100.76475943340137</v>
      </c>
      <c r="Y80" s="24">
        <f t="shared" si="31"/>
        <v>2928.1178854802642</v>
      </c>
      <c r="Z80" s="1"/>
      <c r="AA80" s="25">
        <f>N80/M80</f>
        <v>12.006729451857884</v>
      </c>
      <c r="AB80" s="1">
        <f>P80/M80/(1+$V$5)</f>
        <v>0.7645739323165115</v>
      </c>
      <c r="AC80" s="1">
        <f>(1-AB80*(1+$V$5))/$P$6</f>
        <v>12.006729451857904</v>
      </c>
      <c r="AD80" s="26">
        <f t="shared" si="36"/>
        <v>1.9539925233402755E-14</v>
      </c>
      <c r="AE80" s="1">
        <f t="shared" si="37"/>
        <v>0.59547589149282543</v>
      </c>
      <c r="AF80" s="1">
        <f t="shared" si="38"/>
        <v>1.0902593514891978E-2</v>
      </c>
      <c r="AG80" s="1">
        <f t="shared" si="39"/>
        <v>28.357645732233987</v>
      </c>
      <c r="AH80" s="1">
        <f t="shared" si="40"/>
        <v>5.3251897367355827</v>
      </c>
      <c r="AI80" s="1">
        <f t="shared" si="41"/>
        <v>0.4435170924844633</v>
      </c>
    </row>
    <row r="81" spans="1:35" x14ac:dyDescent="0.45">
      <c r="A81" s="16">
        <f t="shared" si="32"/>
        <v>71</v>
      </c>
      <c r="B81" s="17">
        <f t="shared" si="33"/>
        <v>76981.999975889368</v>
      </c>
      <c r="C81" s="18">
        <f t="shared" si="21"/>
        <v>1843.000003015768</v>
      </c>
      <c r="D81" s="19">
        <v>2.3940661500000002E-2</v>
      </c>
      <c r="E81" s="20">
        <f t="shared" si="22"/>
        <v>0.97605933850000004</v>
      </c>
      <c r="F81" s="21">
        <f t="shared" si="23"/>
        <v>2.2862487360889312E-2</v>
      </c>
      <c r="G81" s="1"/>
      <c r="H81" s="22">
        <f t="shared" si="24"/>
        <v>1025002.9995654135</v>
      </c>
      <c r="I81" s="19">
        <f t="shared" si="34"/>
        <v>12.314839831213046</v>
      </c>
      <c r="J81" s="23">
        <f t="shared" si="35"/>
        <v>12.814839831213046</v>
      </c>
      <c r="K81" s="1"/>
      <c r="L81" s="3">
        <f t="shared" si="25"/>
        <v>71</v>
      </c>
      <c r="M81" s="24">
        <f t="shared" si="26"/>
        <v>18870.221357152575</v>
      </c>
      <c r="N81" s="24">
        <f t="shared" si="27"/>
        <v>216468.49063013805</v>
      </c>
      <c r="O81" s="24">
        <f t="shared" si="28"/>
        <v>442.90743327613592</v>
      </c>
      <c r="P81" s="24">
        <f t="shared" si="29"/>
        <v>14625.741148718487</v>
      </c>
      <c r="Q81" s="24">
        <f t="shared" si="29"/>
        <v>181707.97881372887</v>
      </c>
      <c r="R81" s="1"/>
      <c r="S81" s="1"/>
      <c r="T81" s="1"/>
      <c r="U81" s="3">
        <f>L81</f>
        <v>71</v>
      </c>
      <c r="V81" s="24">
        <f>B81*$Y$4^U81</f>
        <v>4625.5651214499821</v>
      </c>
      <c r="W81" s="24">
        <f t="shared" si="30"/>
        <v>46308.409901420819</v>
      </c>
      <c r="X81" s="24">
        <f>C81*$Y$4^(U81+1)</f>
        <v>106.43895503540941</v>
      </c>
      <c r="Y81" s="24">
        <f t="shared" si="31"/>
        <v>2827.3531260468631</v>
      </c>
      <c r="Z81" s="1"/>
      <c r="AA81" s="25">
        <f>N81/M81</f>
        <v>11.471433563660225</v>
      </c>
      <c r="AB81" s="1">
        <f>P81/M81/(1+$V$5)</f>
        <v>0.7750699301243088</v>
      </c>
      <c r="AC81" s="1">
        <f>(1-AB81*(1+$V$5))/$P$6</f>
        <v>11.471433563660241</v>
      </c>
      <c r="AD81" s="26">
        <f t="shared" si="36"/>
        <v>1.5987211554602254E-14</v>
      </c>
      <c r="AE81" s="1">
        <f t="shared" si="37"/>
        <v>0.61124490777044105</v>
      </c>
      <c r="AF81" s="1">
        <f t="shared" si="38"/>
        <v>1.0511511187540123E-2</v>
      </c>
      <c r="AG81" s="1">
        <f t="shared" si="39"/>
        <v>27.340440598791815</v>
      </c>
      <c r="AH81" s="1">
        <f t="shared" si="40"/>
        <v>5.2288087169824653</v>
      </c>
      <c r="AI81" s="1">
        <f t="shared" si="41"/>
        <v>0.45581127136076038</v>
      </c>
    </row>
    <row r="82" spans="1:35" x14ac:dyDescent="0.45">
      <c r="A82" s="16">
        <f t="shared" si="32"/>
        <v>72</v>
      </c>
      <c r="B82" s="17">
        <f t="shared" si="33"/>
        <v>75138.9999728736</v>
      </c>
      <c r="C82" s="18">
        <f t="shared" si="21"/>
        <v>2019.0000021545129</v>
      </c>
      <c r="D82" s="19">
        <v>2.6870200600000001E-2</v>
      </c>
      <c r="E82" s="20">
        <f t="shared" si="22"/>
        <v>0.9731297994</v>
      </c>
      <c r="F82" s="21">
        <f t="shared" si="23"/>
        <v>2.5699037826990814E-2</v>
      </c>
      <c r="G82" s="1"/>
      <c r="H82" s="22">
        <f t="shared" si="24"/>
        <v>948020.99958952412</v>
      </c>
      <c r="I82" s="19">
        <f t="shared" si="34"/>
        <v>11.616896683902835</v>
      </c>
      <c r="J82" s="23">
        <f t="shared" si="35"/>
        <v>12.116896683902835</v>
      </c>
      <c r="K82" s="1"/>
      <c r="L82" s="3">
        <f t="shared" si="25"/>
        <v>72</v>
      </c>
      <c r="M82" s="24">
        <f t="shared" si="26"/>
        <v>18057.309583540115</v>
      </c>
      <c r="N82" s="24">
        <f t="shared" si="27"/>
        <v>197598.26927298549</v>
      </c>
      <c r="O82" s="24">
        <f t="shared" si="28"/>
        <v>475.6897360843397</v>
      </c>
      <c r="P82" s="24">
        <f t="shared" si="29"/>
        <v>14182.833715442352</v>
      </c>
      <c r="Q82" s="24">
        <f t="shared" si="29"/>
        <v>167082.23766501038</v>
      </c>
      <c r="R82" s="1"/>
      <c r="S82" s="1"/>
      <c r="T82" s="1"/>
      <c r="U82" s="3">
        <f>L82</f>
        <v>72</v>
      </c>
      <c r="V82" s="24">
        <f>B82*$Y$4^U82</f>
        <v>4339.509835285603</v>
      </c>
      <c r="W82" s="24">
        <f t="shared" si="30"/>
        <v>41682.844779970837</v>
      </c>
      <c r="X82" s="24">
        <f>C82*$Y$4^(U82+1)</f>
        <v>112.07564377143154</v>
      </c>
      <c r="Y82" s="24">
        <f t="shared" si="31"/>
        <v>2720.9141710114536</v>
      </c>
      <c r="Z82" s="1"/>
      <c r="AA82" s="25">
        <f>N82/M82</f>
        <v>10.942841089300668</v>
      </c>
      <c r="AB82" s="1">
        <f>P82/M82/(1+$V$5)</f>
        <v>0.78543448844508446</v>
      </c>
      <c r="AC82" s="1">
        <f>(1-AB82*(1+$V$5))/$P$6</f>
        <v>10.942841089300684</v>
      </c>
      <c r="AD82" s="26">
        <f t="shared" si="36"/>
        <v>1.5987211554602254E-14</v>
      </c>
      <c r="AE82" s="1">
        <f t="shared" si="37"/>
        <v>0.62700956428005827</v>
      </c>
      <c r="AF82" s="1">
        <f t="shared" si="38"/>
        <v>1.0102228641066802E-2</v>
      </c>
      <c r="AG82" s="1">
        <f t="shared" si="39"/>
        <v>26.275896695414705</v>
      </c>
      <c r="AH82" s="1">
        <f t="shared" si="40"/>
        <v>5.1260020186705644</v>
      </c>
      <c r="AI82" s="1">
        <f t="shared" si="41"/>
        <v>0.46843429204893583</v>
      </c>
    </row>
    <row r="83" spans="1:35" x14ac:dyDescent="0.45">
      <c r="A83" s="16">
        <f t="shared" si="32"/>
        <v>73</v>
      </c>
      <c r="B83" s="17">
        <f t="shared" si="33"/>
        <v>73119.999970719087</v>
      </c>
      <c r="C83" s="18">
        <f t="shared" si="21"/>
        <v>2205.9999958206172</v>
      </c>
      <c r="D83" s="19">
        <v>3.0169584199999998E-2</v>
      </c>
      <c r="E83" s="20">
        <f t="shared" si="22"/>
        <v>0.96983041579999996</v>
      </c>
      <c r="F83" s="21">
        <f t="shared" si="23"/>
        <v>2.8890864330327077E-2</v>
      </c>
      <c r="G83" s="1"/>
      <c r="H83" s="22">
        <f t="shared" si="24"/>
        <v>872881.99961665052</v>
      </c>
      <c r="I83" s="19">
        <f t="shared" si="34"/>
        <v>10.937664113323253</v>
      </c>
      <c r="J83" s="23">
        <f t="shared" si="35"/>
        <v>11.437664113323253</v>
      </c>
      <c r="K83" s="1"/>
      <c r="L83" s="3">
        <f t="shared" si="25"/>
        <v>73</v>
      </c>
      <c r="M83" s="24">
        <f t="shared" si="26"/>
        <v>17227.554953660871</v>
      </c>
      <c r="N83" s="24">
        <f t="shared" si="27"/>
        <v>179540.95968944539</v>
      </c>
      <c r="O83" s="24">
        <f t="shared" si="28"/>
        <v>509.55702915156979</v>
      </c>
      <c r="P83" s="24">
        <f t="shared" si="29"/>
        <v>13707.143979358012</v>
      </c>
      <c r="Q83" s="24">
        <f t="shared" si="29"/>
        <v>152899.40394956802</v>
      </c>
      <c r="R83" s="1"/>
      <c r="S83" s="1"/>
      <c r="T83" s="1"/>
      <c r="U83" s="3">
        <f>L83</f>
        <v>73</v>
      </c>
      <c r="V83" s="24">
        <f>B83*$Y$4^U83</f>
        <v>4058.9257357802821</v>
      </c>
      <c r="W83" s="24">
        <f t="shared" si="30"/>
        <v>37343.334944685237</v>
      </c>
      <c r="X83" s="24">
        <f>C83*$Y$4^(U83+1)</f>
        <v>117.70098207148283</v>
      </c>
      <c r="Y83" s="24">
        <f t="shared" si="31"/>
        <v>2608.8385272400219</v>
      </c>
      <c r="Z83" s="1"/>
      <c r="AA83" s="25">
        <f>N83/M83</f>
        <v>10.421731938883919</v>
      </c>
      <c r="AB83" s="1">
        <f>P83/M83/(1+$V$5)</f>
        <v>0.79565231492384425</v>
      </c>
      <c r="AC83" s="1">
        <f>(1-AB83*(1+$V$5))/$P$6</f>
        <v>10.421731938883934</v>
      </c>
      <c r="AD83" s="26">
        <f t="shared" si="36"/>
        <v>1.4210854715202004E-14</v>
      </c>
      <c r="AE83" s="1">
        <f t="shared" si="37"/>
        <v>0.64274113326158266</v>
      </c>
      <c r="AF83" s="1">
        <f t="shared" si="38"/>
        <v>9.6785270179103877E-3</v>
      </c>
      <c r="AG83" s="1">
        <f t="shared" si="39"/>
        <v>25.173848773584876</v>
      </c>
      <c r="AH83" s="1">
        <f t="shared" si="40"/>
        <v>5.0173547585939025</v>
      </c>
      <c r="AI83" s="1">
        <f t="shared" si="41"/>
        <v>0.48143195277110717</v>
      </c>
    </row>
    <row r="84" spans="1:35" x14ac:dyDescent="0.45">
      <c r="A84" s="16">
        <f t="shared" si="32"/>
        <v>74</v>
      </c>
      <c r="B84" s="17">
        <f t="shared" si="33"/>
        <v>70913.99997489847</v>
      </c>
      <c r="C84" s="18">
        <f t="shared" si="21"/>
        <v>2412.0000014748221</v>
      </c>
      <c r="D84" s="19">
        <v>3.4013029899999998E-2</v>
      </c>
      <c r="E84" s="20">
        <f t="shared" si="22"/>
        <v>0.96598697010000001</v>
      </c>
      <c r="F84" s="21">
        <f t="shared" si="23"/>
        <v>3.2560566312223815E-2</v>
      </c>
      <c r="G84" s="1"/>
      <c r="H84" s="22">
        <f t="shared" si="24"/>
        <v>799761.99964593141</v>
      </c>
      <c r="I84" s="19">
        <f t="shared" si="34"/>
        <v>10.277914092126016</v>
      </c>
      <c r="J84" s="23">
        <f t="shared" si="35"/>
        <v>10.777914092126016</v>
      </c>
      <c r="K84" s="1"/>
      <c r="L84" s="3">
        <f t="shared" si="25"/>
        <v>74</v>
      </c>
      <c r="M84" s="24">
        <f t="shared" si="26"/>
        <v>16380.202729339482</v>
      </c>
      <c r="N84" s="24">
        <f t="shared" si="27"/>
        <v>162313.40473578451</v>
      </c>
      <c r="O84" s="24">
        <f t="shared" si="28"/>
        <v>546.21600509910343</v>
      </c>
      <c r="P84" s="24">
        <f t="shared" si="29"/>
        <v>13197.586950206442</v>
      </c>
      <c r="Q84" s="24">
        <f t="shared" si="29"/>
        <v>139192.25997021</v>
      </c>
      <c r="R84" s="1"/>
      <c r="S84" s="1"/>
      <c r="T84" s="1"/>
      <c r="U84" s="3">
        <f>L84</f>
        <v>74</v>
      </c>
      <c r="V84" s="24">
        <f>B84*$Y$4^U84</f>
        <v>3783.6117205239439</v>
      </c>
      <c r="W84" s="24">
        <f t="shared" si="30"/>
        <v>33284.409208904952</v>
      </c>
      <c r="X84" s="24">
        <f>C84*$Y$4^(U84+1)</f>
        <v>123.69482754726202</v>
      </c>
      <c r="Y84" s="24">
        <f t="shared" si="31"/>
        <v>2491.137545168539</v>
      </c>
      <c r="Z84" s="1"/>
      <c r="AA84" s="25">
        <f>N84/M84</f>
        <v>9.909120626758547</v>
      </c>
      <c r="AB84" s="1">
        <f>P84/M84/(1+$V$5)</f>
        <v>0.80570351712238075</v>
      </c>
      <c r="AC84" s="1">
        <f>(1-AB84*(1+$V$5))/$P$6</f>
        <v>9.9091206267585736</v>
      </c>
      <c r="AD84" s="26">
        <f t="shared" si="36"/>
        <v>2.6645352591003757E-14</v>
      </c>
      <c r="AE84" s="1">
        <f t="shared" si="37"/>
        <v>0.65840200559046091</v>
      </c>
      <c r="AF84" s="1">
        <f t="shared" si="38"/>
        <v>9.2438480870864481E-3</v>
      </c>
      <c r="AG84" s="1">
        <f t="shared" si="39"/>
        <v>24.043248874511811</v>
      </c>
      <c r="AH84" s="1">
        <f t="shared" si="40"/>
        <v>4.9033915685484279</v>
      </c>
      <c r="AI84" s="1">
        <f t="shared" si="41"/>
        <v>0.49483619720072136</v>
      </c>
    </row>
    <row r="85" spans="1:35" x14ac:dyDescent="0.45">
      <c r="A85" s="16">
        <f t="shared" si="32"/>
        <v>75</v>
      </c>
      <c r="B85" s="17">
        <f t="shared" si="33"/>
        <v>68501.999973423648</v>
      </c>
      <c r="C85" s="18">
        <f t="shared" si="21"/>
        <v>2641.9999999089923</v>
      </c>
      <c r="D85" s="19">
        <v>3.8568217000000002E-2</v>
      </c>
      <c r="E85" s="20">
        <f t="shared" si="22"/>
        <v>0.96143178299999998</v>
      </c>
      <c r="F85" s="21">
        <f t="shared" si="23"/>
        <v>3.6889433909554376E-2</v>
      </c>
      <c r="G85" s="1"/>
      <c r="H85" s="22">
        <f t="shared" si="24"/>
        <v>728847.999671033</v>
      </c>
      <c r="I85" s="19">
        <f t="shared" si="34"/>
        <v>9.6398061363726644</v>
      </c>
      <c r="J85" s="23">
        <f t="shared" si="35"/>
        <v>10.139806136372664</v>
      </c>
      <c r="K85" s="1"/>
      <c r="L85" s="3">
        <f t="shared" si="25"/>
        <v>75</v>
      </c>
      <c r="M85" s="24">
        <f t="shared" si="26"/>
        <v>15512.806278567052</v>
      </c>
      <c r="N85" s="24">
        <f t="shared" si="27"/>
        <v>145933.20200644503</v>
      </c>
      <c r="O85" s="24">
        <f t="shared" si="28"/>
        <v>586.56988120660321</v>
      </c>
      <c r="P85" s="24">
        <f t="shared" si="29"/>
        <v>12651.370945107337</v>
      </c>
      <c r="Q85" s="24">
        <f t="shared" si="29"/>
        <v>125994.67302000357</v>
      </c>
      <c r="R85" s="1"/>
      <c r="S85" s="1"/>
      <c r="T85" s="1"/>
      <c r="U85" s="3">
        <f>L85</f>
        <v>75</v>
      </c>
      <c r="V85" s="24">
        <f>B85*$Y$4^U85</f>
        <v>3512.9946385464941</v>
      </c>
      <c r="W85" s="24">
        <f t="shared" si="30"/>
        <v>29500.797488381009</v>
      </c>
      <c r="X85" s="24">
        <f>C85*$Y$4^(U85+1)</f>
        <v>130.22870005699488</v>
      </c>
      <c r="Y85" s="24">
        <f t="shared" si="31"/>
        <v>2367.4427176212771</v>
      </c>
      <c r="Z85" s="1"/>
      <c r="AA85" s="25">
        <f>N85/M85</f>
        <v>9.4072728934977174</v>
      </c>
      <c r="AB85" s="1">
        <f>P85/M85/(1+$V$5)</f>
        <v>0.81554366875494622</v>
      </c>
      <c r="AC85" s="1">
        <f>(1-AB85*(1+$V$5))/$P$6</f>
        <v>9.4072728934977352</v>
      </c>
      <c r="AD85" s="26">
        <f t="shared" si="36"/>
        <v>1.7763568394002505E-14</v>
      </c>
      <c r="AE85" s="1">
        <f t="shared" si="37"/>
        <v>0.67391014254459825</v>
      </c>
      <c r="AF85" s="1">
        <f t="shared" si="38"/>
        <v>8.7986668983207617E-3</v>
      </c>
      <c r="AG85" s="1">
        <f t="shared" si="39"/>
        <v>22.885332602532262</v>
      </c>
      <c r="AH85" s="1">
        <f t="shared" si="40"/>
        <v>4.7838616830477303</v>
      </c>
      <c r="AI85" s="1">
        <f t="shared" si="41"/>
        <v>0.50852800138861953</v>
      </c>
    </row>
    <row r="86" spans="1:35" x14ac:dyDescent="0.45">
      <c r="A86" s="16">
        <f t="shared" si="32"/>
        <v>76</v>
      </c>
      <c r="B86" s="17">
        <f t="shared" si="33"/>
        <v>65859.999973514656</v>
      </c>
      <c r="C86" s="18">
        <f t="shared" si="21"/>
        <v>2879.0000016242193</v>
      </c>
      <c r="D86" s="19">
        <v>4.3713938700000003E-2</v>
      </c>
      <c r="E86" s="20">
        <f t="shared" si="22"/>
        <v>0.95628606130000005</v>
      </c>
      <c r="F86" s="21">
        <f t="shared" si="23"/>
        <v>4.1914667504960978E-2</v>
      </c>
      <c r="G86" s="1"/>
      <c r="H86" s="22">
        <f t="shared" si="24"/>
        <v>660345.99969760934</v>
      </c>
      <c r="I86" s="19">
        <f t="shared" si="34"/>
        <v>9.0265107798840702</v>
      </c>
      <c r="J86" s="23">
        <f t="shared" si="35"/>
        <v>9.5265107798840702</v>
      </c>
      <c r="K86" s="1"/>
      <c r="L86" s="3">
        <f t="shared" si="25"/>
        <v>76</v>
      </c>
      <c r="M86" s="24">
        <f t="shared" si="26"/>
        <v>14622.063725231683</v>
      </c>
      <c r="N86" s="24">
        <f t="shared" si="27"/>
        <v>130420.39572787797</v>
      </c>
      <c r="O86" s="24">
        <f t="shared" si="28"/>
        <v>626.65489936497158</v>
      </c>
      <c r="P86" s="24">
        <f t="shared" si="29"/>
        <v>12064.801063900733</v>
      </c>
      <c r="Q86" s="24">
        <f t="shared" si="29"/>
        <v>113343.30207489623</v>
      </c>
      <c r="R86" s="1"/>
      <c r="S86" s="1"/>
      <c r="T86" s="1"/>
      <c r="U86" s="3">
        <f>L86</f>
        <v>76</v>
      </c>
      <c r="V86" s="24">
        <f>B86*$Y$4^U86</f>
        <v>3246.3520751703159</v>
      </c>
      <c r="W86" s="24">
        <f t="shared" si="30"/>
        <v>25987.802849834516</v>
      </c>
      <c r="X86" s="24">
        <f>C86*$Y$4^(U86+1)</f>
        <v>136.4002649102392</v>
      </c>
      <c r="Y86" s="24">
        <f t="shared" si="31"/>
        <v>2237.2140175642821</v>
      </c>
      <c r="Z86" s="1"/>
      <c r="AA86" s="25">
        <f>N86/M86</f>
        <v>8.9194246570561635</v>
      </c>
      <c r="AB86" s="1">
        <f>P86/M86/(1+$V$5)</f>
        <v>0.8251093204498785</v>
      </c>
      <c r="AC86" s="1">
        <f>(1-AB86*(1+$V$5))/$P$6</f>
        <v>8.9194246570561884</v>
      </c>
      <c r="AD86" s="26">
        <f t="shared" si="36"/>
        <v>2.4868995751603507E-14</v>
      </c>
      <c r="AE86" s="1">
        <f t="shared" si="37"/>
        <v>0.68914706900572686</v>
      </c>
      <c r="AF86" s="1">
        <f t="shared" si="38"/>
        <v>8.3416783124665717E-3</v>
      </c>
      <c r="AG86" s="1">
        <f t="shared" si="39"/>
        <v>21.696705290725514</v>
      </c>
      <c r="AH86" s="1">
        <f t="shared" si="40"/>
        <v>4.6579722294927342</v>
      </c>
      <c r="AI86" s="1">
        <f t="shared" si="41"/>
        <v>0.52222788000208165</v>
      </c>
    </row>
    <row r="87" spans="1:35" x14ac:dyDescent="0.45">
      <c r="A87" s="16">
        <f t="shared" si="32"/>
        <v>77</v>
      </c>
      <c r="B87" s="17">
        <f t="shared" si="33"/>
        <v>62980.999971890436</v>
      </c>
      <c r="C87" s="18">
        <f t="shared" si="21"/>
        <v>3114.0000014331672</v>
      </c>
      <c r="D87" s="19">
        <v>4.9443483000000003E-2</v>
      </c>
      <c r="E87" s="20">
        <f t="shared" si="22"/>
        <v>0.95055651699999999</v>
      </c>
      <c r="F87" s="21">
        <f t="shared" si="23"/>
        <v>4.7577840981662498E-2</v>
      </c>
      <c r="G87" s="1"/>
      <c r="H87" s="22">
        <f t="shared" si="24"/>
        <v>594485.99972409464</v>
      </c>
      <c r="I87" s="19">
        <f t="shared" si="34"/>
        <v>8.4391324365987277</v>
      </c>
      <c r="J87" s="23">
        <f t="shared" si="35"/>
        <v>8.9391324365987277</v>
      </c>
      <c r="K87" s="1"/>
      <c r="L87" s="3">
        <f t="shared" si="25"/>
        <v>77</v>
      </c>
      <c r="M87" s="24">
        <f t="shared" si="26"/>
        <v>13708.701693999423</v>
      </c>
      <c r="N87" s="24">
        <f t="shared" si="27"/>
        <v>115798.33200264629</v>
      </c>
      <c r="O87" s="24">
        <f t="shared" si="28"/>
        <v>664.51564623463923</v>
      </c>
      <c r="P87" s="24">
        <f t="shared" si="29"/>
        <v>11438.146164535761</v>
      </c>
      <c r="Q87" s="24">
        <f t="shared" si="29"/>
        <v>101278.50101099549</v>
      </c>
      <c r="R87" s="1"/>
      <c r="S87" s="1"/>
      <c r="T87" s="1"/>
      <c r="U87" s="3">
        <f>L87</f>
        <v>77</v>
      </c>
      <c r="V87" s="24">
        <f>B87*$Y$4^U87</f>
        <v>2983.8920026506175</v>
      </c>
      <c r="W87" s="24">
        <f t="shared" si="30"/>
        <v>22741.450774664201</v>
      </c>
      <c r="X87" s="24">
        <f>C87*$Y$4^(U87+1)</f>
        <v>141.80508795356769</v>
      </c>
      <c r="Y87" s="24">
        <f t="shared" si="31"/>
        <v>2100.8137526540431</v>
      </c>
      <c r="Z87" s="1"/>
      <c r="AA87" s="25">
        <f>N87/M87</f>
        <v>8.4470677521076691</v>
      </c>
      <c r="AB87" s="1">
        <f>P87/M87/(1+$V$5)</f>
        <v>0.83437122054690782</v>
      </c>
      <c r="AC87" s="1">
        <f>(1-AB87*(1+$V$5))/$P$6</f>
        <v>8.447067752107694</v>
      </c>
      <c r="AD87" s="26">
        <f t="shared" si="36"/>
        <v>2.4868995751603507E-14</v>
      </c>
      <c r="AE87" s="1">
        <f t="shared" si="37"/>
        <v>0.70405153765212403</v>
      </c>
      <c r="AF87" s="1">
        <f t="shared" si="38"/>
        <v>7.8762039751872903E-3</v>
      </c>
      <c r="AG87" s="1">
        <f t="shared" si="39"/>
        <v>20.486006539462107</v>
      </c>
      <c r="AH87" s="1">
        <f t="shared" si="40"/>
        <v>4.5261469860646493</v>
      </c>
      <c r="AI87" s="1">
        <f t="shared" si="41"/>
        <v>0.53582463393114232</v>
      </c>
    </row>
    <row r="88" spans="1:35" x14ac:dyDescent="0.45">
      <c r="A88" s="16">
        <f t="shared" si="32"/>
        <v>78</v>
      </c>
      <c r="B88" s="17">
        <f t="shared" si="33"/>
        <v>59866.999970457269</v>
      </c>
      <c r="C88" s="18">
        <f t="shared" si="21"/>
        <v>3342.9999969924174</v>
      </c>
      <c r="D88" s="19">
        <v>5.5840446299999999E-2</v>
      </c>
      <c r="E88" s="20">
        <f t="shared" si="22"/>
        <v>0.94415955370000004</v>
      </c>
      <c r="F88" s="21">
        <f t="shared" si="23"/>
        <v>5.3927873466283076E-2</v>
      </c>
      <c r="G88" s="1"/>
      <c r="H88" s="22">
        <f t="shared" si="24"/>
        <v>531504.99975220417</v>
      </c>
      <c r="I88" s="19">
        <f t="shared" si="34"/>
        <v>7.8780964473664516</v>
      </c>
      <c r="J88" s="23">
        <f t="shared" si="35"/>
        <v>8.3780964473664525</v>
      </c>
      <c r="K88" s="1"/>
      <c r="L88" s="3">
        <f t="shared" si="25"/>
        <v>78</v>
      </c>
      <c r="M88" s="24">
        <f t="shared" si="26"/>
        <v>12775.387975333422</v>
      </c>
      <c r="N88" s="24">
        <f t="shared" si="27"/>
        <v>102089.63030864687</v>
      </c>
      <c r="O88" s="24">
        <f t="shared" si="28"/>
        <v>699.3954570571284</v>
      </c>
      <c r="P88" s="24">
        <f t="shared" si="29"/>
        <v>10773.630518301123</v>
      </c>
      <c r="Q88" s="24">
        <f t="shared" si="29"/>
        <v>89840.354846459726</v>
      </c>
      <c r="R88" s="1"/>
      <c r="S88" s="1"/>
      <c r="T88" s="1"/>
      <c r="U88" s="3">
        <f>L88</f>
        <v>78</v>
      </c>
      <c r="V88" s="24">
        <f>B88*$Y$4^U88</f>
        <v>2726.2187515798973</v>
      </c>
      <c r="W88" s="24">
        <f t="shared" si="30"/>
        <v>19757.558772013585</v>
      </c>
      <c r="X88" s="24">
        <f>C88*$Y$4^(U88+1)</f>
        <v>146.32186831954067</v>
      </c>
      <c r="Y88" s="24">
        <f t="shared" si="31"/>
        <v>1959.0086647004755</v>
      </c>
      <c r="Z88" s="1"/>
      <c r="AA88" s="25">
        <f>N88/M88</f>
        <v>7.9911178044659303</v>
      </c>
      <c r="AB88" s="1">
        <f>P88/M88/(1+$V$5)</f>
        <v>0.84331141559870659</v>
      </c>
      <c r="AC88" s="1">
        <f>(1-AB88*(1+$V$5))/$P$6</f>
        <v>7.991117804465957</v>
      </c>
      <c r="AD88" s="26">
        <f t="shared" si="36"/>
        <v>2.6645352591003757E-14</v>
      </c>
      <c r="AE88" s="1">
        <f t="shared" si="37"/>
        <v>0.71858087820912808</v>
      </c>
      <c r="AF88" s="1">
        <f t="shared" si="38"/>
        <v>7.4067345300335985E-3</v>
      </c>
      <c r="AG88" s="1">
        <f t="shared" si="39"/>
        <v>19.264916512617358</v>
      </c>
      <c r="AH88" s="1">
        <f t="shared" si="40"/>
        <v>4.3891817588950852</v>
      </c>
      <c r="AI88" s="1">
        <f t="shared" si="41"/>
        <v>0.54925754647768288</v>
      </c>
    </row>
    <row r="89" spans="1:35" x14ac:dyDescent="0.45">
      <c r="A89" s="16">
        <f t="shared" si="32"/>
        <v>79</v>
      </c>
      <c r="B89" s="17">
        <f t="shared" si="33"/>
        <v>56523.999973464852</v>
      </c>
      <c r="C89" s="18">
        <f t="shared" si="21"/>
        <v>3549.9999983058588</v>
      </c>
      <c r="D89" s="19">
        <v>6.2805180099999997E-2</v>
      </c>
      <c r="E89" s="20">
        <f t="shared" si="22"/>
        <v>0.93719481989999998</v>
      </c>
      <c r="F89" s="21">
        <f t="shared" si="23"/>
        <v>6.0974099484592294E-2</v>
      </c>
      <c r="G89" s="1"/>
      <c r="H89" s="22">
        <f t="shared" si="24"/>
        <v>471637.99978174688</v>
      </c>
      <c r="I89" s="19">
        <f t="shared" si="34"/>
        <v>7.3440308542063013</v>
      </c>
      <c r="J89" s="23">
        <f t="shared" si="35"/>
        <v>7.8440308542063013</v>
      </c>
      <c r="K89" s="1"/>
      <c r="L89" s="3">
        <f t="shared" si="25"/>
        <v>79</v>
      </c>
      <c r="M89" s="24">
        <f t="shared" si="26"/>
        <v>11825.494714838384</v>
      </c>
      <c r="N89" s="24">
        <f t="shared" si="27"/>
        <v>89314.24233331345</v>
      </c>
      <c r="O89" s="24">
        <f t="shared" si="28"/>
        <v>728.13953464414067</v>
      </c>
      <c r="P89" s="24">
        <f t="shared" si="29"/>
        <v>10074.235061243995</v>
      </c>
      <c r="Q89" s="24">
        <f t="shared" si="29"/>
        <v>79066.724328158598</v>
      </c>
      <c r="R89" s="1"/>
      <c r="S89" s="1"/>
      <c r="T89" s="1"/>
      <c r="U89" s="3">
        <f>L89</f>
        <v>79</v>
      </c>
      <c r="V89" s="24">
        <f>B89*$Y$4^U89</f>
        <v>2474.0344865246507</v>
      </c>
      <c r="W89" s="24">
        <f t="shared" si="30"/>
        <v>17031.340020433687</v>
      </c>
      <c r="X89" s="24">
        <f>C89*$Y$4^(U89+1)</f>
        <v>149.34850201825438</v>
      </c>
      <c r="Y89" s="24">
        <f t="shared" si="31"/>
        <v>1812.6867963809348</v>
      </c>
      <c r="Z89" s="1"/>
      <c r="AA89" s="25">
        <f>N89/M89</f>
        <v>7.5526854890259942</v>
      </c>
      <c r="AB89" s="1">
        <f>P89/M89/(1+$V$5)</f>
        <v>0.85190812766615631</v>
      </c>
      <c r="AC89" s="1">
        <f>(1-AB89*(1+$V$5))/$P$6</f>
        <v>7.5526854890260218</v>
      </c>
      <c r="AD89" s="26">
        <f t="shared" si="36"/>
        <v>2.7533531010703882E-14</v>
      </c>
      <c r="AE89" s="1">
        <f t="shared" si="37"/>
        <v>0.73268453057308403</v>
      </c>
      <c r="AF89" s="1">
        <f t="shared" si="38"/>
        <v>6.937072589427995E-3</v>
      </c>
      <c r="AG89" s="1">
        <f t="shared" si="39"/>
        <v>18.043325805102185</v>
      </c>
      <c r="AH89" s="1">
        <f t="shared" si="40"/>
        <v>4.2477436133907833</v>
      </c>
      <c r="AI89" s="1">
        <f t="shared" si="41"/>
        <v>0.56241500054023552</v>
      </c>
    </row>
    <row r="90" spans="1:35" x14ac:dyDescent="0.45">
      <c r="A90" s="16">
        <f t="shared" si="32"/>
        <v>80</v>
      </c>
      <c r="B90" s="17">
        <f t="shared" si="33"/>
        <v>52973.999975158993</v>
      </c>
      <c r="C90" s="18">
        <f t="shared" si="21"/>
        <v>3727.9999978610358</v>
      </c>
      <c r="D90" s="19">
        <v>7.0374145799999996E-2</v>
      </c>
      <c r="E90" s="20">
        <f t="shared" si="22"/>
        <v>0.92962585419999999</v>
      </c>
      <c r="F90" s="21">
        <f t="shared" si="23"/>
        <v>6.8694076335369753E-2</v>
      </c>
      <c r="G90" s="1"/>
      <c r="H90" s="22">
        <f t="shared" si="24"/>
        <v>415113.99980828201</v>
      </c>
      <c r="I90" s="19">
        <f t="shared" si="34"/>
        <v>6.8361837883290049</v>
      </c>
      <c r="J90" s="23">
        <f t="shared" si="35"/>
        <v>7.3361837883290049</v>
      </c>
      <c r="K90" s="1"/>
      <c r="L90" s="3">
        <f t="shared" si="25"/>
        <v>80</v>
      </c>
      <c r="M90" s="24">
        <f t="shared" si="26"/>
        <v>10865.482734805253</v>
      </c>
      <c r="N90" s="24">
        <f t="shared" si="27"/>
        <v>77488.74761847507</v>
      </c>
      <c r="O90" s="24">
        <f t="shared" si="28"/>
        <v>749.65594722212518</v>
      </c>
      <c r="P90" s="24">
        <f t="shared" si="29"/>
        <v>9346.0955265998546</v>
      </c>
      <c r="Q90" s="24">
        <f t="shared" si="29"/>
        <v>68992.489266914607</v>
      </c>
      <c r="R90" s="1"/>
      <c r="S90" s="1"/>
      <c r="T90" s="1"/>
      <c r="U90" s="3">
        <f>L90</f>
        <v>80</v>
      </c>
      <c r="V90" s="24">
        <f>B90*$Y$4^U90</f>
        <v>2228.6162101353893</v>
      </c>
      <c r="W90" s="24">
        <f t="shared" si="30"/>
        <v>14557.305533909037</v>
      </c>
      <c r="X90" s="24">
        <f>C90*$Y$4^(U90+1)</f>
        <v>150.74679171886902</v>
      </c>
      <c r="Y90" s="24">
        <f t="shared" si="31"/>
        <v>1663.3382943626805</v>
      </c>
      <c r="Z90" s="1"/>
      <c r="AA90" s="25">
        <f>N90/M90</f>
        <v>7.1316433433975668</v>
      </c>
      <c r="AB90" s="1">
        <f>P90/M90/(1+$V$5)</f>
        <v>0.860163856011812</v>
      </c>
      <c r="AC90" s="1">
        <f>(1-AB90*(1+$V$5))/$P$6</f>
        <v>7.1316433433975819</v>
      </c>
      <c r="AD90" s="26">
        <f t="shared" si="36"/>
        <v>1.5099033134902129E-14</v>
      </c>
      <c r="AE90" s="1">
        <f t="shared" si="37"/>
        <v>0.7463547500005091</v>
      </c>
      <c r="AF90" s="1">
        <f t="shared" si="38"/>
        <v>6.4728908113999006E-3</v>
      </c>
      <c r="AG90" s="1">
        <f t="shared" si="39"/>
        <v>16.835989000451111</v>
      </c>
      <c r="AH90" s="1">
        <f t="shared" si="40"/>
        <v>4.1031681662407049</v>
      </c>
      <c r="AI90" s="1">
        <f t="shared" si="41"/>
        <v>0.5753467985803572</v>
      </c>
    </row>
    <row r="91" spans="1:35" x14ac:dyDescent="0.45">
      <c r="A91" s="16">
        <f t="shared" si="32"/>
        <v>81</v>
      </c>
      <c r="B91" s="17">
        <f t="shared" si="33"/>
        <v>49245.999977297957</v>
      </c>
      <c r="C91" s="18">
        <f t="shared" si="21"/>
        <v>3882.9999993355668</v>
      </c>
      <c r="D91" s="19">
        <v>7.8849043600000002E-2</v>
      </c>
      <c r="E91" s="20">
        <f t="shared" si="22"/>
        <v>0.9211509564</v>
      </c>
      <c r="F91" s="21">
        <f t="shared" si="23"/>
        <v>7.7275311707602823E-2</v>
      </c>
      <c r="G91" s="1"/>
      <c r="H91" s="22">
        <f t="shared" si="24"/>
        <v>362139.999833123</v>
      </c>
      <c r="I91" s="19">
        <f t="shared" si="34"/>
        <v>6.3536937010126078</v>
      </c>
      <c r="J91" s="23">
        <f t="shared" si="35"/>
        <v>6.8536937010126078</v>
      </c>
      <c r="K91" s="1"/>
      <c r="L91" s="3">
        <f t="shared" si="25"/>
        <v>81</v>
      </c>
      <c r="M91" s="24">
        <f t="shared" si="26"/>
        <v>9902.7781065085146</v>
      </c>
      <c r="N91" s="24">
        <f t="shared" si="27"/>
        <v>66623.264883669821</v>
      </c>
      <c r="O91" s="24">
        <f t="shared" si="28"/>
        <v>765.51429674628969</v>
      </c>
      <c r="P91" s="24">
        <f t="shared" si="29"/>
        <v>8596.4395793777294</v>
      </c>
      <c r="Q91" s="24">
        <f t="shared" si="29"/>
        <v>59646.393740314757</v>
      </c>
      <c r="R91" s="1"/>
      <c r="S91" s="1"/>
      <c r="T91" s="1"/>
      <c r="U91" s="3">
        <f>L91</f>
        <v>81</v>
      </c>
      <c r="V91" s="24">
        <f>B91*$Y$4^U91</f>
        <v>1991.3295348241807</v>
      </c>
      <c r="W91" s="24">
        <f t="shared" si="30"/>
        <v>12328.689323773648</v>
      </c>
      <c r="X91" s="24">
        <f>C91*$Y$4^(U91+1)</f>
        <v>150.91736765986121</v>
      </c>
      <c r="Y91" s="24">
        <f t="shared" si="31"/>
        <v>1512.5915026438115</v>
      </c>
      <c r="Z91" s="1"/>
      <c r="AA91" s="25">
        <f>N91/M91</f>
        <v>6.7277347999832751</v>
      </c>
      <c r="AB91" s="1">
        <f>P91/M91/(1+$V$5)</f>
        <v>0.86808363137287647</v>
      </c>
      <c r="AC91" s="1">
        <f>(1-AB91*(1+$V$5))/$P$6</f>
        <v>6.7277347999832937</v>
      </c>
      <c r="AD91" s="26">
        <f t="shared" si="36"/>
        <v>1.865174681370263E-14</v>
      </c>
      <c r="AE91" s="1">
        <f t="shared" si="37"/>
        <v>0.75958874520352149</v>
      </c>
      <c r="AF91" s="1">
        <f t="shared" si="38"/>
        <v>6.0195541460014157E-3</v>
      </c>
      <c r="AG91" s="1">
        <f t="shared" si="39"/>
        <v>15.656860333749655</v>
      </c>
      <c r="AH91" s="1">
        <f t="shared" si="40"/>
        <v>3.9568750717895624</v>
      </c>
      <c r="AI91" s="1">
        <f t="shared" si="41"/>
        <v>0.58814373476781501</v>
      </c>
    </row>
    <row r="92" spans="1:35" x14ac:dyDescent="0.45">
      <c r="A92" s="16">
        <f t="shared" si="32"/>
        <v>82</v>
      </c>
      <c r="B92" s="17">
        <f t="shared" si="33"/>
        <v>45362.99997796239</v>
      </c>
      <c r="C92" s="18">
        <f t="shared" si="21"/>
        <v>4011.9999964821473</v>
      </c>
      <c r="D92" s="19">
        <v>8.8442122400000003E-2</v>
      </c>
      <c r="E92" s="20">
        <f t="shared" si="22"/>
        <v>0.91155787759999996</v>
      </c>
      <c r="F92" s="21">
        <f t="shared" si="23"/>
        <v>8.7020258797402633E-2</v>
      </c>
      <c r="G92" s="1"/>
      <c r="H92" s="22">
        <f t="shared" si="24"/>
        <v>312893.99985582504</v>
      </c>
      <c r="I92" s="19">
        <f t="shared" si="34"/>
        <v>5.8975596853786287</v>
      </c>
      <c r="J92" s="23">
        <f t="shared" si="35"/>
        <v>6.3975596853786287</v>
      </c>
      <c r="K92" s="1"/>
      <c r="L92" s="3">
        <f t="shared" si="25"/>
        <v>82</v>
      </c>
      <c r="M92" s="24">
        <f t="shared" si="26"/>
        <v>8943.0916900267639</v>
      </c>
      <c r="N92" s="24">
        <f t="shared" si="27"/>
        <v>56720.486777161314</v>
      </c>
      <c r="O92" s="24">
        <f t="shared" si="28"/>
        <v>775.43726459193124</v>
      </c>
      <c r="P92" s="24">
        <f t="shared" si="29"/>
        <v>7830.9252826314405</v>
      </c>
      <c r="Q92" s="24">
        <f t="shared" si="29"/>
        <v>51049.954160937028</v>
      </c>
      <c r="R92" s="1"/>
      <c r="S92" s="1"/>
      <c r="T92" s="1"/>
      <c r="U92" s="3">
        <f>L92</f>
        <v>82</v>
      </c>
      <c r="V92" s="24">
        <f>B92*$Y$4^U92</f>
        <v>1763.0864143703011</v>
      </c>
      <c r="W92" s="24">
        <f t="shared" si="30"/>
        <v>10337.359788949467</v>
      </c>
      <c r="X92" s="24">
        <f>C92*$Y$4^(U92+1)</f>
        <v>149.87610963236764</v>
      </c>
      <c r="Y92" s="24">
        <f t="shared" si="31"/>
        <v>1361.6741349839504</v>
      </c>
      <c r="Z92" s="1"/>
      <c r="AA92" s="25">
        <f>N92/M92</f>
        <v>6.3423801011025489</v>
      </c>
      <c r="AB92" s="1">
        <f>P92/M92/(1+$V$5)</f>
        <v>0.87563960586073397</v>
      </c>
      <c r="AC92" s="1">
        <f>(1-AB92*(1+$V$5))/$P$6</f>
        <v>6.3423801011025622</v>
      </c>
      <c r="AD92" s="26">
        <f t="shared" si="36"/>
        <v>1.3322676295501878E-14</v>
      </c>
      <c r="AE92" s="1">
        <f t="shared" si="37"/>
        <v>0.77232410384733297</v>
      </c>
      <c r="AF92" s="1">
        <f t="shared" si="38"/>
        <v>5.5793844953914151E-3</v>
      </c>
      <c r="AG92" s="1">
        <f t="shared" si="39"/>
        <v>14.511979072513046</v>
      </c>
      <c r="AH92" s="1">
        <f t="shared" si="40"/>
        <v>3.809459157480632</v>
      </c>
      <c r="AI92" s="1">
        <f t="shared" si="41"/>
        <v>0.60063558108389026</v>
      </c>
    </row>
    <row r="93" spans="1:35" x14ac:dyDescent="0.45">
      <c r="A93" s="16">
        <f t="shared" si="32"/>
        <v>83</v>
      </c>
      <c r="B93" s="17">
        <f t="shared" si="33"/>
        <v>41350.999981480243</v>
      </c>
      <c r="C93" s="18">
        <f t="shared" si="21"/>
        <v>4094.9999982391819</v>
      </c>
      <c r="D93" s="19">
        <v>9.9030253200000001E-2</v>
      </c>
      <c r="E93" s="20">
        <f t="shared" si="22"/>
        <v>0.90096974679999997</v>
      </c>
      <c r="F93" s="21">
        <f t="shared" si="23"/>
        <v>9.8026649879714989E-2</v>
      </c>
      <c r="G93" s="1"/>
      <c r="H93" s="22">
        <f t="shared" si="24"/>
        <v>267530.99987786263</v>
      </c>
      <c r="I93" s="19">
        <f t="shared" si="34"/>
        <v>5.4697588933201375</v>
      </c>
      <c r="J93" s="23">
        <f t="shared" si="35"/>
        <v>5.9697588933201375</v>
      </c>
      <c r="K93" s="1"/>
      <c r="L93" s="3">
        <f t="shared" si="25"/>
        <v>83</v>
      </c>
      <c r="M93" s="24">
        <f t="shared" si="26"/>
        <v>7992.2996864146999</v>
      </c>
      <c r="N93" s="24">
        <f t="shared" si="27"/>
        <v>47777.395087134551</v>
      </c>
      <c r="O93" s="24">
        <f t="shared" si="28"/>
        <v>775.96025646659587</v>
      </c>
      <c r="P93" s="24">
        <f t="shared" si="29"/>
        <v>7055.4880180395094</v>
      </c>
      <c r="Q93" s="24">
        <f t="shared" si="29"/>
        <v>43219.028878305588</v>
      </c>
      <c r="R93" s="1"/>
      <c r="S93" s="1"/>
      <c r="T93" s="1"/>
      <c r="U93" s="3">
        <f>L93</f>
        <v>83</v>
      </c>
      <c r="V93" s="24">
        <f>B93*$Y$4^U93</f>
        <v>1544.7475104851842</v>
      </c>
      <c r="W93" s="24">
        <f t="shared" si="30"/>
        <v>8574.2733745791647</v>
      </c>
      <c r="X93" s="24">
        <f>C93*$Y$4^(U93+1)</f>
        <v>147.03646394984369</v>
      </c>
      <c r="Y93" s="24">
        <f t="shared" si="31"/>
        <v>1211.7980253515827</v>
      </c>
      <c r="Z93" s="1"/>
      <c r="AA93" s="25">
        <f>N93/M93</f>
        <v>5.9779283762777942</v>
      </c>
      <c r="AB93" s="1">
        <f>P93/M93/(1+$V$5)</f>
        <v>0.88278571811219975</v>
      </c>
      <c r="AC93" s="1">
        <f>(1-AB93*(1+$V$5))/$P$6</f>
        <v>5.9779283762778075</v>
      </c>
      <c r="AD93" s="26">
        <f t="shared" si="36"/>
        <v>1.3322676295501878E-14</v>
      </c>
      <c r="AE93" s="1">
        <f t="shared" si="37"/>
        <v>0.78446349136434179</v>
      </c>
      <c r="AF93" s="1">
        <f t="shared" si="38"/>
        <v>5.1528672614695736E-3</v>
      </c>
      <c r="AG93" s="1">
        <f t="shared" si="39"/>
        <v>13.402607747082339</v>
      </c>
      <c r="AH93" s="1">
        <f t="shared" si="40"/>
        <v>3.6609572173247722</v>
      </c>
      <c r="AI93" s="1">
        <f t="shared" si="41"/>
        <v>0.61241235874496991</v>
      </c>
    </row>
    <row r="94" spans="1:35" x14ac:dyDescent="0.45">
      <c r="A94" s="16">
        <f t="shared" si="32"/>
        <v>84</v>
      </c>
      <c r="B94" s="17">
        <f t="shared" si="33"/>
        <v>37255.999983241061</v>
      </c>
      <c r="C94" s="18">
        <f t="shared" si="21"/>
        <v>4095.9999995942853</v>
      </c>
      <c r="D94" s="19">
        <v>0.1099420228</v>
      </c>
      <c r="E94" s="20">
        <f t="shared" si="22"/>
        <v>0.89005797720000002</v>
      </c>
      <c r="F94" s="21">
        <f t="shared" si="23"/>
        <v>0.10992860212473213</v>
      </c>
      <c r="G94" s="1"/>
      <c r="H94" s="22">
        <f t="shared" si="24"/>
        <v>226179.99989638242</v>
      </c>
      <c r="I94" s="19">
        <f t="shared" si="34"/>
        <v>5.0709684345642421</v>
      </c>
      <c r="J94" s="23">
        <f t="shared" si="35"/>
        <v>5.5709684345642421</v>
      </c>
      <c r="K94" s="1"/>
      <c r="L94" s="3">
        <f t="shared" si="25"/>
        <v>84</v>
      </c>
      <c r="M94" s="24">
        <f t="shared" si="26"/>
        <v>7059.6276713909519</v>
      </c>
      <c r="N94" s="24">
        <f t="shared" si="27"/>
        <v>39785.095400719852</v>
      </c>
      <c r="O94" s="24">
        <f t="shared" si="28"/>
        <v>760.93112392899445</v>
      </c>
      <c r="P94" s="24">
        <f t="shared" si="29"/>
        <v>6279.5277615729137</v>
      </c>
      <c r="Q94" s="24">
        <f t="shared" si="29"/>
        <v>36163.540860266075</v>
      </c>
      <c r="R94" s="1"/>
      <c r="S94" s="1"/>
      <c r="T94" s="1"/>
      <c r="U94" s="3">
        <f>L94</f>
        <v>84</v>
      </c>
      <c r="V94" s="24">
        <f>B94*$Y$4^U94</f>
        <v>1337.7266180236129</v>
      </c>
      <c r="W94" s="24">
        <f t="shared" si="30"/>
        <v>7029.525864093981</v>
      </c>
      <c r="X94" s="24">
        <f>C94*$Y$4^(U94+1)</f>
        <v>141.36137095244021</v>
      </c>
      <c r="Y94" s="24">
        <f t="shared" si="31"/>
        <v>1064.7615614017391</v>
      </c>
      <c r="Z94" s="1"/>
      <c r="AA94" s="25">
        <f>N94/M94</f>
        <v>5.6355798425387826</v>
      </c>
      <c r="AB94" s="1">
        <f>P94/M94/(1+$V$5)</f>
        <v>0.88949843446002363</v>
      </c>
      <c r="AC94" s="1">
        <f>(1-AB94*(1+$V$5))/$P$6</f>
        <v>5.6355798425387897</v>
      </c>
      <c r="AD94" s="26">
        <f t="shared" si="36"/>
        <v>7.1054273576010019E-15</v>
      </c>
      <c r="AE94" s="1">
        <f t="shared" si="37"/>
        <v>0.79594854961833794</v>
      </c>
      <c r="AF94" s="1">
        <f t="shared" si="38"/>
        <v>4.7410847115050281E-3</v>
      </c>
      <c r="AG94" s="1">
        <f t="shared" si="39"/>
        <v>12.331561334624556</v>
      </c>
      <c r="AH94" s="1">
        <f t="shared" si="40"/>
        <v>3.5116322892103264</v>
      </c>
      <c r="AI94" s="1">
        <f t="shared" si="41"/>
        <v>0.62311818611878012</v>
      </c>
    </row>
    <row r="95" spans="1:35" x14ac:dyDescent="0.45">
      <c r="A95" s="16">
        <f t="shared" si="32"/>
        <v>85</v>
      </c>
      <c r="B95" s="17">
        <f t="shared" si="33"/>
        <v>33159.999983646776</v>
      </c>
      <c r="C95" s="18">
        <f t="shared" si="21"/>
        <v>4023.9999969635173</v>
      </c>
      <c r="D95" s="19">
        <v>0.1213510253</v>
      </c>
      <c r="E95" s="20">
        <f t="shared" si="22"/>
        <v>0.87864897470000003</v>
      </c>
      <c r="F95" s="21">
        <f t="shared" si="23"/>
        <v>0.12243667069605355</v>
      </c>
      <c r="G95" s="1"/>
      <c r="H95" s="22">
        <f t="shared" si="24"/>
        <v>188923.99991314136</v>
      </c>
      <c r="I95" s="19">
        <f t="shared" si="34"/>
        <v>4.6973462004315847</v>
      </c>
      <c r="J95" s="23">
        <f t="shared" si="35"/>
        <v>5.1973462004315847</v>
      </c>
      <c r="K95" s="1"/>
      <c r="L95" s="3">
        <f t="shared" si="25"/>
        <v>85</v>
      </c>
      <c r="M95" s="24">
        <f t="shared" si="26"/>
        <v>6160.2724754738992</v>
      </c>
      <c r="N95" s="24">
        <f t="shared" si="27"/>
        <v>32725.467729328902</v>
      </c>
      <c r="O95" s="24">
        <f t="shared" si="28"/>
        <v>732.89743237855532</v>
      </c>
      <c r="P95" s="24">
        <f t="shared" si="29"/>
        <v>5518.5966376439192</v>
      </c>
      <c r="Q95" s="24">
        <f t="shared" si="29"/>
        <v>29884.013098693162</v>
      </c>
      <c r="R95" s="1"/>
      <c r="S95" s="1"/>
      <c r="T95" s="1"/>
      <c r="U95" s="3">
        <f>L95</f>
        <v>85</v>
      </c>
      <c r="V95" s="24">
        <f>B95*$Y$4^U95</f>
        <v>1144.4196921229275</v>
      </c>
      <c r="W95" s="24">
        <f t="shared" si="30"/>
        <v>5691.7992460703681</v>
      </c>
      <c r="X95" s="24">
        <f>C95*$Y$4^(U95+1)</f>
        <v>133.48375914324058</v>
      </c>
      <c r="Y95" s="24">
        <f t="shared" si="31"/>
        <v>923.40019044929875</v>
      </c>
      <c r="Z95" s="1"/>
      <c r="AA95" s="25">
        <f>N95/M95</f>
        <v>5.3123409491414399</v>
      </c>
      <c r="AB95" s="1">
        <f>P95/M95/(1+$V$5)</f>
        <v>0.89583645197761852</v>
      </c>
      <c r="AC95" s="1">
        <f>(1-AB95*(1+$V$5))/$P$6</f>
        <v>5.3123409491414506</v>
      </c>
      <c r="AD95" s="26">
        <f t="shared" si="36"/>
        <v>1.0658141036401503E-14</v>
      </c>
      <c r="AE95" s="1">
        <f t="shared" si="37"/>
        <v>0.80687198656671844</v>
      </c>
      <c r="AF95" s="1">
        <f t="shared" si="38"/>
        <v>4.3490378748703984E-3</v>
      </c>
      <c r="AG95" s="1">
        <f t="shared" si="39"/>
        <v>11.311847512537886</v>
      </c>
      <c r="AH95" s="1">
        <f t="shared" si="40"/>
        <v>3.3633090123474956</v>
      </c>
      <c r="AI95" s="1">
        <f t="shared" si="41"/>
        <v>0.63311241589097567</v>
      </c>
    </row>
    <row r="96" spans="1:35" x14ac:dyDescent="0.45">
      <c r="A96" s="16">
        <f t="shared" si="32"/>
        <v>86</v>
      </c>
      <c r="B96" s="17">
        <f t="shared" si="33"/>
        <v>29135.999986683259</v>
      </c>
      <c r="C96" s="18">
        <f t="shared" si="21"/>
        <v>3906.9999976270883</v>
      </c>
      <c r="D96" s="19">
        <v>0.13409527730000001</v>
      </c>
      <c r="E96" s="20">
        <f t="shared" si="22"/>
        <v>0.86590472269999996</v>
      </c>
      <c r="F96" s="21">
        <f t="shared" si="23"/>
        <v>0.13610310266020567</v>
      </c>
      <c r="G96" s="1"/>
      <c r="H96" s="22">
        <f t="shared" si="24"/>
        <v>155763.9999294946</v>
      </c>
      <c r="I96" s="19">
        <f t="shared" si="34"/>
        <v>4.3461010434063443</v>
      </c>
      <c r="J96" s="23">
        <f t="shared" si="35"/>
        <v>4.8461010434063443</v>
      </c>
      <c r="K96" s="1"/>
      <c r="L96" s="3">
        <f t="shared" si="25"/>
        <v>86</v>
      </c>
      <c r="M96" s="24">
        <f t="shared" si="26"/>
        <v>5306.5853867135029</v>
      </c>
      <c r="N96" s="24">
        <f t="shared" si="27"/>
        <v>26565.195253855003</v>
      </c>
      <c r="O96" s="24">
        <f t="shared" si="28"/>
        <v>697.63533230144594</v>
      </c>
      <c r="P96" s="24">
        <f t="shared" si="29"/>
        <v>4785.6992052653641</v>
      </c>
      <c r="Q96" s="24">
        <f t="shared" si="29"/>
        <v>24365.416461049244</v>
      </c>
      <c r="R96" s="1"/>
      <c r="S96" s="1"/>
      <c r="T96" s="1"/>
      <c r="U96" s="3">
        <f>L96</f>
        <v>86</v>
      </c>
      <c r="V96" s="24">
        <f>B96*$Y$4^U96</f>
        <v>966.49672155930409</v>
      </c>
      <c r="W96" s="24">
        <f t="shared" si="30"/>
        <v>4547.3795539474404</v>
      </c>
      <c r="X96" s="24">
        <f>C96*$Y$4^(U96+1)</f>
        <v>124.57001719246037</v>
      </c>
      <c r="Y96" s="24">
        <f t="shared" si="31"/>
        <v>789.91643130605814</v>
      </c>
      <c r="Z96" s="1"/>
      <c r="AA96" s="25">
        <f>N96/M96</f>
        <v>5.0060808067591411</v>
      </c>
      <c r="AB96" s="1">
        <f>P96/M96/(1+$V$5)</f>
        <v>0.90184155280864398</v>
      </c>
      <c r="AC96" s="1">
        <f>(1-AB96*(1+$V$5))/$P$6</f>
        <v>5.0060808067591527</v>
      </c>
      <c r="AD96" s="26">
        <f t="shared" si="36"/>
        <v>1.1546319456101628E-14</v>
      </c>
      <c r="AE96" s="1">
        <f t="shared" si="37"/>
        <v>0.81729861435188422</v>
      </c>
      <c r="AF96" s="1">
        <f t="shared" si="38"/>
        <v>3.9804279795780939E-3</v>
      </c>
      <c r="AG96" s="1">
        <f t="shared" si="39"/>
        <v>10.353093174882604</v>
      </c>
      <c r="AH96" s="1">
        <f t="shared" si="40"/>
        <v>3.2176222859252146</v>
      </c>
      <c r="AI96" s="1">
        <f t="shared" si="41"/>
        <v>0.64274277825895765</v>
      </c>
    </row>
    <row r="97" spans="1:35" x14ac:dyDescent="0.45">
      <c r="A97" s="16">
        <f t="shared" si="32"/>
        <v>87</v>
      </c>
      <c r="B97" s="17">
        <f t="shared" si="33"/>
        <v>25228.99998905617</v>
      </c>
      <c r="C97" s="18">
        <f t="shared" si="21"/>
        <v>3737.9999986050316</v>
      </c>
      <c r="D97" s="19">
        <v>0.14816282850000001</v>
      </c>
      <c r="E97" s="20">
        <f t="shared" si="22"/>
        <v>0.85183717149999993</v>
      </c>
      <c r="F97" s="21">
        <f t="shared" si="23"/>
        <v>0.15151214870879476</v>
      </c>
      <c r="G97" s="1"/>
      <c r="H97" s="22">
        <f t="shared" si="24"/>
        <v>126627.99994281134</v>
      </c>
      <c r="I97" s="19">
        <f t="shared" si="34"/>
        <v>4.0191446350525188</v>
      </c>
      <c r="J97" s="23">
        <f t="shared" si="35"/>
        <v>4.5191446350525188</v>
      </c>
      <c r="K97" s="1"/>
      <c r="L97" s="3">
        <f t="shared" si="25"/>
        <v>87</v>
      </c>
      <c r="M97" s="24">
        <f t="shared" si="26"/>
        <v>4504.8993605549285</v>
      </c>
      <c r="N97" s="24">
        <f t="shared" si="27"/>
        <v>21258.609867141498</v>
      </c>
      <c r="O97" s="24">
        <f t="shared" si="28"/>
        <v>654.37120722319582</v>
      </c>
      <c r="P97" s="24">
        <f t="shared" si="29"/>
        <v>4088.0638729639186</v>
      </c>
      <c r="Q97" s="24">
        <f t="shared" si="29"/>
        <v>19579.717255783878</v>
      </c>
      <c r="R97" s="1"/>
      <c r="S97" s="1"/>
      <c r="T97" s="1"/>
      <c r="U97" s="3">
        <f>L97</f>
        <v>87</v>
      </c>
      <c r="V97" s="24">
        <f>B97*$Y$4^U97</f>
        <v>804.39645873920438</v>
      </c>
      <c r="W97" s="24">
        <f t="shared" si="30"/>
        <v>3580.8828323881362</v>
      </c>
      <c r="X97" s="24">
        <f>C97*$Y$4^(U97+1)</f>
        <v>114.55368566146103</v>
      </c>
      <c r="Y97" s="24">
        <f t="shared" si="31"/>
        <v>665.3464141135978</v>
      </c>
      <c r="Z97" s="1"/>
      <c r="AA97" s="25">
        <f>N97/M97</f>
        <v>4.7189977323983534</v>
      </c>
      <c r="AB97" s="1">
        <f>P97/M97/(1+$V$5)</f>
        <v>0.90747063269807149</v>
      </c>
      <c r="AC97" s="1">
        <f>(1-AB97*(1+$V$5))/$P$6</f>
        <v>4.7189977323983499</v>
      </c>
      <c r="AD97" s="26">
        <f t="shared" si="36"/>
        <v>3.5527136788005009E-15</v>
      </c>
      <c r="AE97" s="1">
        <f t="shared" si="37"/>
        <v>0.82713742320105321</v>
      </c>
      <c r="AF97" s="1">
        <f t="shared" si="38"/>
        <v>3.6344739916149837E-3</v>
      </c>
      <c r="AG97" s="1">
        <f t="shared" si="39"/>
        <v>9.4532668521905556</v>
      </c>
      <c r="AH97" s="1">
        <f t="shared" si="40"/>
        <v>3.0746165374222776</v>
      </c>
      <c r="AI97" s="1">
        <f t="shared" si="41"/>
        <v>0.65154015996096992</v>
      </c>
    </row>
    <row r="98" spans="1:35" x14ac:dyDescent="0.45">
      <c r="A98" s="16">
        <f t="shared" si="32"/>
        <v>88</v>
      </c>
      <c r="B98" s="17">
        <f t="shared" si="33"/>
        <v>21490.999990451139</v>
      </c>
      <c r="C98" s="18">
        <f t="shared" si="21"/>
        <v>3511.9999978399501</v>
      </c>
      <c r="D98" s="19">
        <v>0.16341724439999999</v>
      </c>
      <c r="E98" s="20">
        <f t="shared" si="22"/>
        <v>0.83658275560000006</v>
      </c>
      <c r="F98" s="21">
        <f t="shared" si="23"/>
        <v>0.16867525940315237</v>
      </c>
      <c r="G98" s="1"/>
      <c r="H98" s="22">
        <f t="shared" si="24"/>
        <v>101398.99995375516</v>
      </c>
      <c r="I98" s="19">
        <f t="shared" si="34"/>
        <v>3.7182076217397366</v>
      </c>
      <c r="J98" s="23">
        <f t="shared" si="35"/>
        <v>4.2182076217397366</v>
      </c>
      <c r="K98" s="1"/>
      <c r="L98" s="3">
        <f t="shared" si="25"/>
        <v>88</v>
      </c>
      <c r="M98" s="24">
        <f t="shared" si="26"/>
        <v>3762.1967933208525</v>
      </c>
      <c r="N98" s="24">
        <f t="shared" si="27"/>
        <v>16753.710506586569</v>
      </c>
      <c r="O98" s="24">
        <f t="shared" si="28"/>
        <v>602.75277730883317</v>
      </c>
      <c r="P98" s="24">
        <f t="shared" si="29"/>
        <v>3433.692665740723</v>
      </c>
      <c r="Q98" s="24">
        <f t="shared" si="29"/>
        <v>15491.653382819961</v>
      </c>
      <c r="R98" s="1"/>
      <c r="S98" s="1"/>
      <c r="T98" s="1"/>
      <c r="U98" s="3">
        <f>L98</f>
        <v>88</v>
      </c>
      <c r="V98" s="24">
        <f>B98*$Y$4^U98</f>
        <v>658.60707821705137</v>
      </c>
      <c r="W98" s="24">
        <f t="shared" si="30"/>
        <v>2776.4863736489319</v>
      </c>
      <c r="X98" s="24">
        <f>C98*$Y$4^(U98+1)</f>
        <v>103.44843700938651</v>
      </c>
      <c r="Y98" s="24">
        <f t="shared" si="31"/>
        <v>550.79272845213677</v>
      </c>
      <c r="Z98" s="1"/>
      <c r="AA98" s="25">
        <f>N98/M98</f>
        <v>4.4531722892141001</v>
      </c>
      <c r="AB98" s="1">
        <f>P98/M98/(1+$V$5)</f>
        <v>0.91268289628991939</v>
      </c>
      <c r="AC98" s="1">
        <f>(1-AB98*(1+$V$5))/$P$6</f>
        <v>4.4531722892141072</v>
      </c>
      <c r="AD98" s="26">
        <f t="shared" si="36"/>
        <v>7.1054273576010019E-15</v>
      </c>
      <c r="AE98" s="1">
        <f t="shared" si="37"/>
        <v>0.83629943659763828</v>
      </c>
      <c r="AF98" s="1">
        <f t="shared" si="38"/>
        <v>3.309367417482556E-3</v>
      </c>
      <c r="AG98" s="1">
        <f t="shared" si="39"/>
        <v>8.6076646528721135</v>
      </c>
      <c r="AH98" s="1">
        <f t="shared" si="40"/>
        <v>2.9338821811504485</v>
      </c>
      <c r="AI98" s="1">
        <f t="shared" si="41"/>
        <v>0.65882970399697305</v>
      </c>
    </row>
    <row r="99" spans="1:35" x14ac:dyDescent="0.45">
      <c r="A99" s="16">
        <f t="shared" si="32"/>
        <v>89</v>
      </c>
      <c r="B99" s="17">
        <f t="shared" si="33"/>
        <v>17978.999992611189</v>
      </c>
      <c r="C99" s="18">
        <f t="shared" si="21"/>
        <v>3235.9999986366038</v>
      </c>
      <c r="D99" s="19">
        <v>0.17998776350000001</v>
      </c>
      <c r="E99" s="20">
        <f t="shared" si="22"/>
        <v>0.82001223649999999</v>
      </c>
      <c r="F99" s="21">
        <f t="shared" si="23"/>
        <v>0.18766338503948418</v>
      </c>
      <c r="G99" s="1"/>
      <c r="H99" s="22">
        <f t="shared" si="24"/>
        <v>79907.999963304028</v>
      </c>
      <c r="I99" s="19">
        <f t="shared" si="34"/>
        <v>3.4445186048247254</v>
      </c>
      <c r="J99" s="23">
        <f t="shared" si="35"/>
        <v>3.9445186048247254</v>
      </c>
      <c r="K99" s="1"/>
      <c r="L99" s="3">
        <f t="shared" si="25"/>
        <v>89</v>
      </c>
      <c r="M99" s="24">
        <f t="shared" si="26"/>
        <v>3085.6754514371005</v>
      </c>
      <c r="N99" s="24">
        <f t="shared" si="27"/>
        <v>12991.513713265716</v>
      </c>
      <c r="O99" s="24">
        <f t="shared" si="28"/>
        <v>544.49394450099658</v>
      </c>
      <c r="P99" s="24">
        <f t="shared" si="29"/>
        <v>2830.9398884318898</v>
      </c>
      <c r="Q99" s="24">
        <f t="shared" si="29"/>
        <v>12057.960717079237</v>
      </c>
      <c r="R99" s="1"/>
      <c r="S99" s="1"/>
      <c r="T99" s="1"/>
      <c r="U99" s="3">
        <f>L99</f>
        <v>89</v>
      </c>
      <c r="V99" s="24">
        <f>B99*$Y$4^U99</f>
        <v>529.58412567520702</v>
      </c>
      <c r="W99" s="24">
        <f t="shared" si="30"/>
        <v>2117.8792954318806</v>
      </c>
      <c r="X99" s="24">
        <f>C99*$Y$4^(U99+1)</f>
        <v>91.617322534970626</v>
      </c>
      <c r="Y99" s="24">
        <f t="shared" si="31"/>
        <v>447.34429144275026</v>
      </c>
      <c r="Z99" s="1"/>
      <c r="AA99" s="25">
        <f>N99/M99</f>
        <v>4.2102657644099093</v>
      </c>
      <c r="AB99" s="1">
        <f>P99/M99/(1+$V$5)</f>
        <v>0.91744576932529576</v>
      </c>
      <c r="AC99" s="1">
        <f>(1-AB99*(1+$V$5))/$P$6</f>
        <v>4.2102657644099128</v>
      </c>
      <c r="AD99" s="26">
        <f t="shared" si="36"/>
        <v>3.5527136788005009E-15</v>
      </c>
      <c r="AE99" s="1">
        <f t="shared" si="37"/>
        <v>0.84470864921110889</v>
      </c>
      <c r="AF99" s="1">
        <f t="shared" si="38"/>
        <v>3.0019095582251021E-3</v>
      </c>
      <c r="AG99" s="1">
        <f t="shared" si="39"/>
        <v>7.8079667609434766</v>
      </c>
      <c r="AH99" s="1">
        <f t="shared" si="40"/>
        <v>2.794273923748972</v>
      </c>
      <c r="AI99" s="1">
        <f t="shared" si="41"/>
        <v>0.66368112611071806</v>
      </c>
    </row>
    <row r="100" spans="1:35" x14ac:dyDescent="0.45">
      <c r="A100" s="16">
        <f t="shared" si="32"/>
        <v>90</v>
      </c>
      <c r="B100" s="17">
        <f t="shared" si="33"/>
        <v>14742.999993974585</v>
      </c>
      <c r="C100" s="18">
        <f t="shared" si="21"/>
        <v>2890.9999986157582</v>
      </c>
      <c r="D100" s="19">
        <v>0.19609306109999999</v>
      </c>
      <c r="E100" s="20">
        <f t="shared" si="22"/>
        <v>0.80390693889999998</v>
      </c>
      <c r="F100" s="21">
        <f t="shared" si="23"/>
        <v>0.20779352912420967</v>
      </c>
      <c r="G100" s="1"/>
      <c r="H100" s="22">
        <f t="shared" si="24"/>
        <v>61928.999970692836</v>
      </c>
      <c r="I100" s="19">
        <f t="shared" si="34"/>
        <v>3.2005697616498008</v>
      </c>
      <c r="J100" s="23">
        <f t="shared" si="35"/>
        <v>3.7005697616498008</v>
      </c>
      <c r="K100" s="1"/>
      <c r="L100" s="3">
        <f t="shared" si="25"/>
        <v>90</v>
      </c>
      <c r="M100" s="24">
        <f t="shared" si="26"/>
        <v>2480.6780667118469</v>
      </c>
      <c r="N100" s="24">
        <f t="shared" si="27"/>
        <v>9905.8382618286159</v>
      </c>
      <c r="O100" s="24">
        <f t="shared" si="28"/>
        <v>476.90564284819226</v>
      </c>
      <c r="P100" s="24">
        <f t="shared" si="29"/>
        <v>2286.445943930893</v>
      </c>
      <c r="Q100" s="24">
        <f t="shared" si="29"/>
        <v>9227.0208286473462</v>
      </c>
      <c r="R100" s="1"/>
      <c r="S100" s="1"/>
      <c r="T100" s="1"/>
      <c r="U100" s="3">
        <f>L100</f>
        <v>90</v>
      </c>
      <c r="V100" s="24">
        <f>B100*$Y$4^U100</f>
        <v>417.4024061032523</v>
      </c>
      <c r="W100" s="24">
        <f t="shared" si="30"/>
        <v>1588.2951697566734</v>
      </c>
      <c r="X100" s="24">
        <f>C100*$Y$4^(U100+1)</f>
        <v>78.671391314198445</v>
      </c>
      <c r="Y100" s="24">
        <f t="shared" si="31"/>
        <v>355.72696890777962</v>
      </c>
      <c r="Z100" s="1"/>
      <c r="AA100" s="25">
        <f>N100/M100</f>
        <v>3.9931978255279459</v>
      </c>
      <c r="AB100" s="1">
        <f>P100/M100/(1+$V$5)</f>
        <v>0.92170200342102038</v>
      </c>
      <c r="AC100" s="1">
        <f>(1-AB100*(1+$V$5))/$P$6</f>
        <v>3.9931978255279574</v>
      </c>
      <c r="AD100" s="26">
        <f t="shared" si="36"/>
        <v>1.1546319456101628E-14</v>
      </c>
      <c r="AE100" s="1">
        <f t="shared" si="37"/>
        <v>0.85223986183679035</v>
      </c>
      <c r="AF100" s="1">
        <f t="shared" si="38"/>
        <v>2.7052787264676414E-3</v>
      </c>
      <c r="AG100" s="1">
        <f t="shared" si="39"/>
        <v>7.0364299675423236</v>
      </c>
      <c r="AH100" s="1">
        <f t="shared" si="40"/>
        <v>2.6526269936691671</v>
      </c>
      <c r="AI100" s="1">
        <f t="shared" si="41"/>
        <v>0.6642863964092387</v>
      </c>
    </row>
    <row r="101" spans="1:35" x14ac:dyDescent="0.45">
      <c r="A101" s="16">
        <f t="shared" si="32"/>
        <v>91</v>
      </c>
      <c r="B101" s="17">
        <f t="shared" si="33"/>
        <v>11851.999995358827</v>
      </c>
      <c r="C101" s="18">
        <f t="shared" si="21"/>
        <v>2489.9999994877307</v>
      </c>
      <c r="D101" s="19">
        <v>0.21009112390000001</v>
      </c>
      <c r="E101" s="20">
        <f t="shared" si="22"/>
        <v>0.78990887609999993</v>
      </c>
      <c r="F101" s="21">
        <f t="shared" si="23"/>
        <v>0.22700809990763823</v>
      </c>
      <c r="G101" s="1"/>
      <c r="H101" s="22">
        <f t="shared" si="24"/>
        <v>47185.999976718253</v>
      </c>
      <c r="I101" s="19">
        <f t="shared" si="34"/>
        <v>2.9812689837323667</v>
      </c>
      <c r="J101" s="23">
        <f t="shared" si="35"/>
        <v>3.4812689837323667</v>
      </c>
      <c r="K101" s="1"/>
      <c r="L101" s="3">
        <f t="shared" si="25"/>
        <v>91</v>
      </c>
      <c r="M101" s="24">
        <f t="shared" si="26"/>
        <v>1955.1316774575398</v>
      </c>
      <c r="N101" s="24">
        <f t="shared" si="27"/>
        <v>7425.1601951167695</v>
      </c>
      <c r="O101" s="24">
        <f t="shared" si="28"/>
        <v>402.70177597014401</v>
      </c>
      <c r="P101" s="24">
        <f t="shared" si="29"/>
        <v>1809.5403010827008</v>
      </c>
      <c r="Q101" s="24">
        <f t="shared" si="29"/>
        <v>6940.5748847164523</v>
      </c>
      <c r="R101" s="1"/>
      <c r="S101" s="1"/>
      <c r="T101" s="1"/>
      <c r="U101" s="3">
        <f>L101</f>
        <v>91</v>
      </c>
      <c r="V101" s="24">
        <f>B101*$Y$4^U101</f>
        <v>322.52277064586718</v>
      </c>
      <c r="W101" s="24">
        <f t="shared" si="30"/>
        <v>1170.8927636534211</v>
      </c>
      <c r="X101" s="24">
        <f>C101*$Y$4^(U101+1)</f>
        <v>65.128000161795612</v>
      </c>
      <c r="Y101" s="24">
        <f t="shared" si="31"/>
        <v>277.05557759358118</v>
      </c>
      <c r="Z101" s="1"/>
      <c r="AA101" s="25">
        <f>N101/M101</f>
        <v>3.7977801089962768</v>
      </c>
      <c r="AB101" s="1">
        <f>P101/M101/(1+$V$5)</f>
        <v>0.92553372335301398</v>
      </c>
      <c r="AC101" s="1">
        <f>(1-AB101*(1+$V$5))/$P$6</f>
        <v>3.7977801089962835</v>
      </c>
      <c r="AD101" s="26">
        <f t="shared" si="36"/>
        <v>6.6613381477509392E-15</v>
      </c>
      <c r="AE101" s="1">
        <f t="shared" si="37"/>
        <v>0.85902640932534535</v>
      </c>
      <c r="AF101" s="1">
        <f t="shared" si="38"/>
        <v>2.4137362616519775E-3</v>
      </c>
      <c r="AG101" s="1">
        <f t="shared" si="39"/>
        <v>6.2781280165567823</v>
      </c>
      <c r="AH101" s="1">
        <f t="shared" si="40"/>
        <v>2.5056192880317596</v>
      </c>
      <c r="AI101" s="1">
        <f t="shared" si="41"/>
        <v>0.65975891603002124</v>
      </c>
    </row>
    <row r="102" spans="1:35" x14ac:dyDescent="0.45">
      <c r="A102" s="16">
        <f t="shared" si="32"/>
        <v>92</v>
      </c>
      <c r="B102" s="17">
        <f t="shared" si="33"/>
        <v>9361.999995871096</v>
      </c>
      <c r="C102" s="18">
        <f t="shared" si="21"/>
        <v>2081.9999995349799</v>
      </c>
      <c r="D102" s="19">
        <v>0.22238837859999999</v>
      </c>
      <c r="E102" s="20">
        <f t="shared" si="22"/>
        <v>0.77761162139999995</v>
      </c>
      <c r="F102" s="21">
        <f t="shared" si="23"/>
        <v>0.24417859437294864</v>
      </c>
      <c r="G102" s="1"/>
      <c r="H102" s="22">
        <f t="shared" si="24"/>
        <v>35333.999981359426</v>
      </c>
      <c r="I102" s="19">
        <f t="shared" si="34"/>
        <v>2.7741935480605329</v>
      </c>
      <c r="J102" s="23">
        <f t="shared" si="35"/>
        <v>3.2741935480605329</v>
      </c>
      <c r="K102" s="1"/>
      <c r="L102" s="3">
        <f t="shared" si="25"/>
        <v>92</v>
      </c>
      <c r="M102" s="24">
        <f t="shared" si="26"/>
        <v>1514.0939862431305</v>
      </c>
      <c r="N102" s="24">
        <f t="shared" si="27"/>
        <v>5470.0285176592297</v>
      </c>
      <c r="O102" s="24">
        <f t="shared" si="28"/>
        <v>330.11461436139257</v>
      </c>
      <c r="P102" s="24">
        <f t="shared" si="29"/>
        <v>1406.8385251125567</v>
      </c>
      <c r="Q102" s="24">
        <f t="shared" si="29"/>
        <v>5131.034583633751</v>
      </c>
      <c r="R102" s="1"/>
      <c r="S102" s="1"/>
      <c r="T102" s="1"/>
      <c r="U102" s="3">
        <f>L102</f>
        <v>92</v>
      </c>
      <c r="V102" s="24">
        <f>B102*$Y$4^U102</f>
        <v>244.87081822139081</v>
      </c>
      <c r="W102" s="24">
        <f t="shared" si="30"/>
        <v>848.36999300755394</v>
      </c>
      <c r="X102" s="24">
        <f>C102*$Y$4^(U102+1)</f>
        <v>52.341814908410647</v>
      </c>
      <c r="Y102" s="24">
        <f t="shared" si="31"/>
        <v>211.92757743178558</v>
      </c>
      <c r="Z102" s="1"/>
      <c r="AA102" s="25">
        <f>N102/M102</f>
        <v>3.6127404027485928</v>
      </c>
      <c r="AB102" s="1">
        <f>P102/M102/(1+$V$5)</f>
        <v>0.92916195288728198</v>
      </c>
      <c r="AC102" s="1">
        <f>(1-AB102*(1+$V$5))/$P$6</f>
        <v>3.6127404027486159</v>
      </c>
      <c r="AD102" s="26">
        <f t="shared" si="36"/>
        <v>2.3092638912203256E-14</v>
      </c>
      <c r="AE102" s="1">
        <f t="shared" si="37"/>
        <v>0.86546685706003224</v>
      </c>
      <c r="AF102" s="1">
        <f t="shared" si="38"/>
        <v>2.1249223667245687E-3</v>
      </c>
      <c r="AG102" s="1">
        <f t="shared" si="39"/>
        <v>5.5269230758505934</v>
      </c>
      <c r="AH102" s="1">
        <f t="shared" si="40"/>
        <v>2.3509408916113976</v>
      </c>
      <c r="AI102" s="1">
        <f t="shared" si="41"/>
        <v>0.65073618071832362</v>
      </c>
    </row>
    <row r="103" spans="1:35" x14ac:dyDescent="0.45">
      <c r="A103" s="16">
        <f t="shared" si="32"/>
        <v>93</v>
      </c>
      <c r="B103" s="17">
        <f t="shared" si="33"/>
        <v>7279.9999963361161</v>
      </c>
      <c r="C103" s="18">
        <f t="shared" si="21"/>
        <v>1708.9999994838927</v>
      </c>
      <c r="D103" s="19">
        <v>0.23475274730000001</v>
      </c>
      <c r="E103" s="20">
        <f t="shared" si="22"/>
        <v>0.76524725270000005</v>
      </c>
      <c r="F103" s="21">
        <f t="shared" si="23"/>
        <v>0.26037087918453367</v>
      </c>
      <c r="G103" s="1"/>
      <c r="H103" s="22">
        <f t="shared" si="24"/>
        <v>25971.999985488332</v>
      </c>
      <c r="I103" s="19">
        <f t="shared" si="34"/>
        <v>2.5675824173845521</v>
      </c>
      <c r="J103" s="23">
        <f t="shared" si="35"/>
        <v>3.0675824173845521</v>
      </c>
      <c r="K103" s="1"/>
      <c r="L103" s="3">
        <f t="shared" si="25"/>
        <v>93</v>
      </c>
      <c r="M103" s="24">
        <f t="shared" si="26"/>
        <v>1154.2912545044212</v>
      </c>
      <c r="N103" s="24">
        <f t="shared" si="27"/>
        <v>3955.9345314160992</v>
      </c>
      <c r="O103" s="24">
        <f t="shared" si="28"/>
        <v>265.65984625419242</v>
      </c>
      <c r="P103" s="24">
        <f t="shared" si="29"/>
        <v>1076.7239107511641</v>
      </c>
      <c r="Q103" s="24">
        <f t="shared" si="29"/>
        <v>3724.1960585211941</v>
      </c>
      <c r="R103" s="1"/>
      <c r="S103" s="1"/>
      <c r="T103" s="1"/>
      <c r="U103" s="3">
        <f>L103</f>
        <v>93</v>
      </c>
      <c r="V103" s="24">
        <f>B103*$Y$4^U103</f>
        <v>183.02037100219181</v>
      </c>
      <c r="W103" s="24">
        <f t="shared" si="30"/>
        <v>603.49917478616317</v>
      </c>
      <c r="X103" s="24">
        <f>C103*$Y$4^(U103+1)</f>
        <v>41.29616965073987</v>
      </c>
      <c r="Y103" s="24">
        <f t="shared" si="31"/>
        <v>159.58576252337494</v>
      </c>
      <c r="Z103" s="1"/>
      <c r="AA103" s="25">
        <f>N103/M103</f>
        <v>3.4271545556450778</v>
      </c>
      <c r="AB103" s="1">
        <f>P103/M103/(1+$V$5)</f>
        <v>0.93280089106578257</v>
      </c>
      <c r="AC103" s="1">
        <f>(1-AB103*(1+$V$5))/$P$6</f>
        <v>3.4271545556450862</v>
      </c>
      <c r="AD103" s="26">
        <f t="shared" si="36"/>
        <v>8.4376949871511897E-15</v>
      </c>
      <c r="AE103" s="1">
        <f t="shared" si="37"/>
        <v>0.87195628360661437</v>
      </c>
      <c r="AF103" s="1">
        <f t="shared" si="38"/>
        <v>1.8387812334964559E-3</v>
      </c>
      <c r="AG103" s="1">
        <f t="shared" si="39"/>
        <v>4.7826699883242734</v>
      </c>
      <c r="AH103" s="1">
        <f t="shared" si="40"/>
        <v>2.1869316377802654</v>
      </c>
      <c r="AI103" s="1">
        <f t="shared" si="41"/>
        <v>0.63811876653710742</v>
      </c>
    </row>
    <row r="104" spans="1:35" x14ac:dyDescent="0.45">
      <c r="A104" s="16">
        <f t="shared" si="32"/>
        <v>94</v>
      </c>
      <c r="B104" s="17">
        <f t="shared" si="33"/>
        <v>5570.9999968522234</v>
      </c>
      <c r="C104" s="18">
        <f t="shared" si="21"/>
        <v>1380.9999992210951</v>
      </c>
      <c r="D104" s="19">
        <v>0.24789086339999999</v>
      </c>
      <c r="E104" s="20">
        <f t="shared" si="22"/>
        <v>0.75210913660000001</v>
      </c>
      <c r="F104" s="21">
        <f t="shared" si="23"/>
        <v>0.27732902535011017</v>
      </c>
      <c r="G104" s="1"/>
      <c r="H104" s="22">
        <f t="shared" si="24"/>
        <v>18691.999989152217</v>
      </c>
      <c r="I104" s="19">
        <f t="shared" si="34"/>
        <v>2.3552324537271114</v>
      </c>
      <c r="J104" s="23">
        <f t="shared" si="35"/>
        <v>2.8552324537271114</v>
      </c>
      <c r="K104" s="1"/>
      <c r="L104" s="3">
        <f t="shared" si="25"/>
        <v>94</v>
      </c>
      <c r="M104" s="24">
        <f t="shared" si="26"/>
        <v>865.99824639720089</v>
      </c>
      <c r="N104" s="24">
        <f t="shared" si="27"/>
        <v>2801.6432769116777</v>
      </c>
      <c r="O104" s="24">
        <f t="shared" si="28"/>
        <v>210.46377745322366</v>
      </c>
      <c r="P104" s="24">
        <f t="shared" si="29"/>
        <v>811.06406449697181</v>
      </c>
      <c r="Q104" s="24">
        <f t="shared" si="29"/>
        <v>2647.47214777003</v>
      </c>
      <c r="R104" s="1"/>
      <c r="S104" s="1"/>
      <c r="T104" s="1"/>
      <c r="U104" s="3">
        <f>L104</f>
        <v>94</v>
      </c>
      <c r="V104" s="24">
        <f>B104*$Y$4^U104</f>
        <v>134.61729728716071</v>
      </c>
      <c r="W104" s="24">
        <f t="shared" si="30"/>
        <v>420.47880378397133</v>
      </c>
      <c r="X104" s="24">
        <f>C104*$Y$4^(U104+1)</f>
        <v>32.07458482611375</v>
      </c>
      <c r="Y104" s="24">
        <f t="shared" si="31"/>
        <v>118.28959287263507</v>
      </c>
      <c r="Z104" s="1"/>
      <c r="AA104" s="25">
        <f>N104/M104</f>
        <v>3.2351604504596989</v>
      </c>
      <c r="AB104" s="1">
        <f>P104/M104/(1+$V$5)</f>
        <v>0.93656548136353523</v>
      </c>
      <c r="AC104" s="1">
        <f>(1-AB104*(1+$V$5))/$P$6</f>
        <v>3.2351604504597002</v>
      </c>
      <c r="AD104" s="26">
        <f t="shared" si="36"/>
        <v>1.3322676295501878E-15</v>
      </c>
      <c r="AE104" s="1">
        <f t="shared" si="37"/>
        <v>0.8787102048283143</v>
      </c>
      <c r="AF104" s="1">
        <f t="shared" si="38"/>
        <v>1.5553039466038587E-3</v>
      </c>
      <c r="AG104" s="1">
        <f t="shared" si="39"/>
        <v>4.0453455651166292</v>
      </c>
      <c r="AH104" s="1">
        <f t="shared" si="40"/>
        <v>2.0113044436674996</v>
      </c>
      <c r="AI104" s="1">
        <f t="shared" si="41"/>
        <v>0.62170160474782754</v>
      </c>
    </row>
    <row r="105" spans="1:35" x14ac:dyDescent="0.45">
      <c r="A105" s="16">
        <f t="shared" si="32"/>
        <v>95</v>
      </c>
      <c r="B105" s="17">
        <f t="shared" si="33"/>
        <v>4189.9999976311283</v>
      </c>
      <c r="C105" s="18">
        <f t="shared" si="21"/>
        <v>1097.9999995192316</v>
      </c>
      <c r="D105" s="19">
        <v>0.26205250600000002</v>
      </c>
      <c r="E105" s="20">
        <f t="shared" si="22"/>
        <v>0.73794749399999993</v>
      </c>
      <c r="F105" s="21">
        <f t="shared" si="23"/>
        <v>0.29582338903840832</v>
      </c>
      <c r="G105" s="1"/>
      <c r="H105" s="22">
        <f t="shared" si="24"/>
        <v>13120.999992299992</v>
      </c>
      <c r="I105" s="19">
        <f t="shared" si="34"/>
        <v>2.1315035798849933</v>
      </c>
      <c r="J105" s="23">
        <f t="shared" si="35"/>
        <v>2.6315035798849933</v>
      </c>
      <c r="K105" s="1"/>
      <c r="L105" s="3">
        <f t="shared" si="25"/>
        <v>95</v>
      </c>
      <c r="M105" s="24">
        <f t="shared" si="26"/>
        <v>638.55411117148321</v>
      </c>
      <c r="N105" s="24">
        <f t="shared" si="27"/>
        <v>1935.6450305144767</v>
      </c>
      <c r="O105" s="24">
        <f t="shared" si="28"/>
        <v>164.05363240106843</v>
      </c>
      <c r="P105" s="24">
        <f t="shared" si="29"/>
        <v>600.60028704374815</v>
      </c>
      <c r="Q105" s="24">
        <f t="shared" si="29"/>
        <v>1836.4080832730583</v>
      </c>
      <c r="R105" s="1"/>
      <c r="S105" s="1"/>
      <c r="T105" s="1"/>
      <c r="U105" s="3">
        <f>L105</f>
        <v>95</v>
      </c>
      <c r="V105" s="24">
        <f>B105*$Y$4^U105</f>
        <v>97.315358740938038</v>
      </c>
      <c r="W105" s="24">
        <f t="shared" si="30"/>
        <v>285.86150649681065</v>
      </c>
      <c r="X105" s="24">
        <f>C105*$Y$4^(U105+1)</f>
        <v>24.511470232941011</v>
      </c>
      <c r="Y105" s="24">
        <f t="shared" si="31"/>
        <v>86.215008046521319</v>
      </c>
      <c r="Z105" s="1"/>
      <c r="AA105" s="25">
        <f>N105/M105</f>
        <v>3.0312936627459295</v>
      </c>
      <c r="AB105" s="1">
        <f>P105/M105/(1+$V$5)</f>
        <v>0.94056286935792266</v>
      </c>
      <c r="AC105" s="1">
        <f>(1-AB105*(1+$V$5))/$P$6</f>
        <v>3.0312936627459419</v>
      </c>
      <c r="AD105" s="26">
        <f t="shared" si="36"/>
        <v>1.2434497875801753E-14</v>
      </c>
      <c r="AE105" s="1">
        <f t="shared" si="37"/>
        <v>0.88593423650662562</v>
      </c>
      <c r="AF105" s="1">
        <f t="shared" si="38"/>
        <v>1.2757252918169648E-3</v>
      </c>
      <c r="AG105" s="1">
        <f t="shared" si="39"/>
        <v>3.3181614840159197</v>
      </c>
      <c r="AH105" s="1">
        <f t="shared" si="40"/>
        <v>1.8215821375979508</v>
      </c>
      <c r="AI105" s="1">
        <f t="shared" si="41"/>
        <v>0.60092565757810856</v>
      </c>
    </row>
    <row r="106" spans="1:35" x14ac:dyDescent="0.45">
      <c r="A106" s="16">
        <f t="shared" si="32"/>
        <v>96</v>
      </c>
      <c r="B106" s="17">
        <f t="shared" si="33"/>
        <v>3091.9999981118967</v>
      </c>
      <c r="C106" s="18">
        <f t="shared" si="21"/>
        <v>853.99999953651195</v>
      </c>
      <c r="D106" s="19">
        <v>0.27619663649999998</v>
      </c>
      <c r="E106" s="20">
        <f t="shared" si="22"/>
        <v>0.72380336350000007</v>
      </c>
      <c r="F106" s="21">
        <f t="shared" si="23"/>
        <v>0.31565329887576254</v>
      </c>
      <c r="G106" s="1"/>
      <c r="H106" s="22">
        <f t="shared" si="24"/>
        <v>8930.999994668864</v>
      </c>
      <c r="I106" s="19">
        <f t="shared" si="34"/>
        <v>1.8884217335454405</v>
      </c>
      <c r="J106" s="23">
        <f t="shared" si="35"/>
        <v>2.3884217335454405</v>
      </c>
      <c r="K106" s="1"/>
      <c r="L106" s="3">
        <f t="shared" si="25"/>
        <v>96</v>
      </c>
      <c r="M106" s="24">
        <f t="shared" si="26"/>
        <v>461.97980992391501</v>
      </c>
      <c r="N106" s="24">
        <f t="shared" si="27"/>
        <v>1297.0909193429934</v>
      </c>
      <c r="O106" s="24">
        <f t="shared" si="28"/>
        <v>125.09536238421038</v>
      </c>
      <c r="P106" s="24">
        <f t="shared" si="29"/>
        <v>436.54665464267975</v>
      </c>
      <c r="Q106" s="24">
        <f t="shared" si="29"/>
        <v>1235.80779622931</v>
      </c>
      <c r="R106" s="1"/>
      <c r="S106" s="1"/>
      <c r="T106" s="1"/>
      <c r="U106" s="3">
        <f>L106</f>
        <v>96</v>
      </c>
      <c r="V106" s="24">
        <f>B106*$Y$4^U106</f>
        <v>69.025014523823742</v>
      </c>
      <c r="W106" s="24">
        <f t="shared" si="30"/>
        <v>188.5461477558726</v>
      </c>
      <c r="X106" s="24">
        <f>C106*$Y$4^(U106+1)</f>
        <v>18.324179974859437</v>
      </c>
      <c r="Y106" s="24">
        <f t="shared" si="31"/>
        <v>61.703537813580311</v>
      </c>
      <c r="Z106" s="1"/>
      <c r="AA106" s="25">
        <f>N106/M106</f>
        <v>2.8076788021463872</v>
      </c>
      <c r="AB106" s="1">
        <f>P106/M106/(1+$V$5)</f>
        <v>0.94494747446771765</v>
      </c>
      <c r="AC106" s="1">
        <f>(1-AB106*(1+$V$5))/$P$6</f>
        <v>2.8076788021463974</v>
      </c>
      <c r="AD106" s="26">
        <f t="shared" si="36"/>
        <v>1.021405182655144E-14</v>
      </c>
      <c r="AE106" s="1">
        <f t="shared" si="37"/>
        <v>0.89393009533208501</v>
      </c>
      <c r="AF106" s="1">
        <f t="shared" si="38"/>
        <v>1.0043658291670754E-3</v>
      </c>
      <c r="AG106" s="1">
        <f t="shared" si="39"/>
        <v>2.6123555216635586</v>
      </c>
      <c r="AH106" s="1">
        <f t="shared" si="40"/>
        <v>1.616278293383772</v>
      </c>
      <c r="AI106" s="1">
        <f t="shared" si="41"/>
        <v>0.57566353108061197</v>
      </c>
    </row>
    <row r="107" spans="1:35" x14ac:dyDescent="0.45">
      <c r="A107" s="16">
        <f t="shared" si="32"/>
        <v>97</v>
      </c>
      <c r="B107" s="17">
        <f t="shared" si="33"/>
        <v>2237.9999985753848</v>
      </c>
      <c r="C107" s="18">
        <f t="shared" si="21"/>
        <v>652.99999947732817</v>
      </c>
      <c r="D107" s="19">
        <v>0.29177837350000002</v>
      </c>
      <c r="E107" s="20">
        <f t="shared" si="22"/>
        <v>0.70822162649999998</v>
      </c>
      <c r="F107" s="21">
        <f t="shared" si="23"/>
        <v>0.33668453976164697</v>
      </c>
      <c r="G107" s="1"/>
      <c r="H107" s="22">
        <f t="shared" si="24"/>
        <v>5838.9999965569668</v>
      </c>
      <c r="I107" s="19">
        <f t="shared" si="34"/>
        <v>1.6090259161187779</v>
      </c>
      <c r="J107" s="23">
        <f t="shared" si="35"/>
        <v>2.1090259161187781</v>
      </c>
      <c r="K107" s="1"/>
      <c r="L107" s="3">
        <f t="shared" si="25"/>
        <v>97</v>
      </c>
      <c r="M107" s="24">
        <f t="shared" si="26"/>
        <v>327.82601989413757</v>
      </c>
      <c r="N107" s="24">
        <f t="shared" si="27"/>
        <v>835.11110941907828</v>
      </c>
      <c r="O107" s="24">
        <f t="shared" si="28"/>
        <v>93.777002819304045</v>
      </c>
      <c r="P107" s="24">
        <f t="shared" si="29"/>
        <v>311.45129225846938</v>
      </c>
      <c r="Q107" s="24">
        <f t="shared" si="29"/>
        <v>799.2611415866304</v>
      </c>
      <c r="R107" s="1"/>
      <c r="S107" s="1"/>
      <c r="T107" s="1"/>
      <c r="U107" s="3">
        <f>L107</f>
        <v>97</v>
      </c>
      <c r="V107" s="24">
        <f>B107*$Y$4^U107</f>
        <v>48.020509109938466</v>
      </c>
      <c r="W107" s="24">
        <f t="shared" si="30"/>
        <v>119.52113323204887</v>
      </c>
      <c r="X107" s="24">
        <f>C107*$Y$4^(U107+1)</f>
        <v>13.467268399403864</v>
      </c>
      <c r="Y107" s="24">
        <f t="shared" si="31"/>
        <v>43.379357838720871</v>
      </c>
      <c r="Z107" s="1"/>
      <c r="AA107" s="25">
        <f>N107/M107</f>
        <v>2.5474216771711853</v>
      </c>
      <c r="AB107" s="1">
        <f>P107/M107/(1+$V$5)</f>
        <v>0.9500505553495846</v>
      </c>
      <c r="AC107" s="1">
        <f>(1-AB107*(1+$V$5))/$P$6</f>
        <v>2.5474216771711831</v>
      </c>
      <c r="AD107" s="26">
        <f t="shared" si="36"/>
        <v>2.2204460492503131E-15</v>
      </c>
      <c r="AE107" s="1">
        <f t="shared" si="37"/>
        <v>0.903350644188463</v>
      </c>
      <c r="AF107" s="1">
        <f t="shared" si="38"/>
        <v>7.5458646840886878E-4</v>
      </c>
      <c r="AG107" s="1">
        <f t="shared" si="39"/>
        <v>1.9626794043314644</v>
      </c>
      <c r="AH107" s="1">
        <f t="shared" si="40"/>
        <v>1.4009566033005678</v>
      </c>
      <c r="AI107" s="1">
        <f t="shared" si="41"/>
        <v>0.54995080549690412</v>
      </c>
    </row>
    <row r="108" spans="1:35" x14ac:dyDescent="0.45">
      <c r="A108" s="16">
        <f t="shared" si="32"/>
        <v>98</v>
      </c>
      <c r="B108" s="17">
        <f t="shared" si="33"/>
        <v>1584.9999990980566</v>
      </c>
      <c r="C108" s="18">
        <f t="shared" si="21"/>
        <v>486.99999971537295</v>
      </c>
      <c r="D108" s="19">
        <v>0.30725552049999999</v>
      </c>
      <c r="E108" s="20">
        <f t="shared" si="22"/>
        <v>0.69274447949999995</v>
      </c>
      <c r="F108" s="21">
        <f t="shared" si="23"/>
        <v>0.35962145105407495</v>
      </c>
      <c r="G108" s="1"/>
      <c r="H108" s="22">
        <f t="shared" si="24"/>
        <v>3600.9999979815821</v>
      </c>
      <c r="I108" s="19">
        <f t="shared" si="34"/>
        <v>1.2719242902402075</v>
      </c>
      <c r="J108" s="23">
        <f t="shared" si="35"/>
        <v>1.7719242902402075</v>
      </c>
      <c r="K108" s="1"/>
      <c r="L108" s="3">
        <f t="shared" si="25"/>
        <v>98</v>
      </c>
      <c r="M108" s="24">
        <f t="shared" si="26"/>
        <v>227.62105590043873</v>
      </c>
      <c r="N108" s="24">
        <f t="shared" si="27"/>
        <v>507.28508952494064</v>
      </c>
      <c r="O108" s="24">
        <f t="shared" si="28"/>
        <v>68.566496085734215</v>
      </c>
      <c r="P108" s="24">
        <f t="shared" si="29"/>
        <v>217.67428943916536</v>
      </c>
      <c r="Q108" s="24">
        <f t="shared" si="29"/>
        <v>487.80984932816102</v>
      </c>
      <c r="R108" s="1"/>
      <c r="S108" s="1"/>
      <c r="T108" s="1"/>
      <c r="U108" s="3">
        <f>L108</f>
        <v>98</v>
      </c>
      <c r="V108" s="24">
        <f>B108*$Y$4^U108</f>
        <v>32.688545816223261</v>
      </c>
      <c r="W108" s="24">
        <f t="shared" si="30"/>
        <v>71.500624122110395</v>
      </c>
      <c r="X108" s="24">
        <f>C108*$Y$4^(U108+1)</f>
        <v>9.653725643167796</v>
      </c>
      <c r="Y108" s="24">
        <f t="shared" si="31"/>
        <v>29.912089439317008</v>
      </c>
      <c r="Z108" s="1"/>
      <c r="AA108" s="25">
        <f>N108/M108</f>
        <v>2.2286386798364854</v>
      </c>
      <c r="AB108" s="1">
        <f>P108/M108/(1+$V$5)</f>
        <v>0.95630120235614724</v>
      </c>
      <c r="AC108" s="1">
        <f>(1-AB108*(1+$V$5))/$P$6</f>
        <v>2.228638679836489</v>
      </c>
      <c r="AD108" s="26">
        <f t="shared" si="36"/>
        <v>3.5527136788005009E-15</v>
      </c>
      <c r="AE108" s="1">
        <f t="shared" si="37"/>
        <v>0.91506332546832647</v>
      </c>
      <c r="AF108" s="1">
        <f t="shared" si="38"/>
        <v>5.513358405135893E-4</v>
      </c>
      <c r="AG108" s="1">
        <f t="shared" si="39"/>
        <v>1.4340245211758433</v>
      </c>
      <c r="AH108" s="1">
        <f t="shared" si="40"/>
        <v>1.1975076288591415</v>
      </c>
      <c r="AI108" s="1">
        <f t="shared" si="41"/>
        <v>0.53732695196109681</v>
      </c>
    </row>
    <row r="109" spans="1:35" x14ac:dyDescent="0.45">
      <c r="A109" s="16">
        <f t="shared" si="32"/>
        <v>99</v>
      </c>
      <c r="B109" s="17">
        <f t="shared" si="33"/>
        <v>1097.9999993826837</v>
      </c>
      <c r="C109" s="18">
        <f t="shared" si="21"/>
        <v>566.99999965602183</v>
      </c>
      <c r="D109" s="19">
        <v>0.51639344259999997</v>
      </c>
      <c r="E109" s="20">
        <f t="shared" si="22"/>
        <v>0.48360655740000003</v>
      </c>
      <c r="F109" s="21">
        <f t="shared" si="23"/>
        <v>0.47996357011109902</v>
      </c>
      <c r="G109" s="1"/>
      <c r="H109" s="22">
        <f t="shared" si="24"/>
        <v>2015.9999988835252</v>
      </c>
      <c r="I109" s="19">
        <f t="shared" si="34"/>
        <v>0.83606557378593671</v>
      </c>
      <c r="J109" s="23">
        <f t="shared" si="35"/>
        <v>1.3360655737859366</v>
      </c>
      <c r="K109" s="1"/>
      <c r="L109" s="3">
        <f t="shared" si="25"/>
        <v>99</v>
      </c>
      <c r="M109" s="24">
        <f t="shared" si="26"/>
        <v>154.59140185587236</v>
      </c>
      <c r="N109" s="24">
        <f t="shared" si="27"/>
        <v>279.66403362450194</v>
      </c>
      <c r="O109" s="24">
        <f t="shared" si="28"/>
        <v>78.264692353641124</v>
      </c>
      <c r="P109" s="24">
        <f t="shared" si="29"/>
        <v>149.10779335343113</v>
      </c>
      <c r="Q109" s="24">
        <f t="shared" si="29"/>
        <v>270.13555988899566</v>
      </c>
      <c r="R109" s="1"/>
      <c r="S109" s="1"/>
      <c r="T109" s="1"/>
      <c r="U109" s="3">
        <f>L109</f>
        <v>99</v>
      </c>
      <c r="V109" s="24">
        <f>B109*$Y$4^U109</f>
        <v>21.765484099453555</v>
      </c>
      <c r="W109" s="24">
        <f t="shared" si="30"/>
        <v>38.812078305887127</v>
      </c>
      <c r="X109" s="24">
        <f>C109*$Y$4^(U109+1)</f>
        <v>10.803107712391755</v>
      </c>
      <c r="Y109" s="24">
        <f t="shared" si="31"/>
        <v>20.258363796149212</v>
      </c>
      <c r="Z109" s="1"/>
      <c r="AA109" s="25">
        <f>N109/M109</f>
        <v>1.8090529632769388</v>
      </c>
      <c r="AB109" s="1">
        <f>P109/M109/(1+$V$5)</f>
        <v>0.96452837326907959</v>
      </c>
      <c r="AC109" s="1">
        <f>(1-AB109*(1+$V$5))/$P$6</f>
        <v>1.8090529632769394</v>
      </c>
      <c r="AD109" s="26">
        <f t="shared" si="36"/>
        <v>6.6613381477509392E-16</v>
      </c>
      <c r="AE109" s="1">
        <f t="shared" si="37"/>
        <v>0.93075640787873948</v>
      </c>
      <c r="AF109" s="1">
        <f t="shared" si="38"/>
        <v>4.4142503764255103E-4</v>
      </c>
      <c r="AG109" s="1">
        <f t="shared" si="39"/>
        <v>1.1481465229082732</v>
      </c>
      <c r="AH109" s="1">
        <f t="shared" si="40"/>
        <v>1.0715159928383118</v>
      </c>
      <c r="AI109" s="1">
        <f t="shared" si="41"/>
        <v>0.59230769612038103</v>
      </c>
    </row>
    <row r="110" spans="1:35" x14ac:dyDescent="0.45">
      <c r="A110" s="16">
        <f t="shared" si="32"/>
        <v>100</v>
      </c>
      <c r="B110" s="17">
        <f t="shared" si="33"/>
        <v>530.99999972666183</v>
      </c>
      <c r="C110" s="18">
        <f t="shared" si="21"/>
        <v>293.99999985706023</v>
      </c>
      <c r="D110" s="19">
        <v>0.55367231640000003</v>
      </c>
      <c r="E110" s="20">
        <f t="shared" si="22"/>
        <v>0.44632768359999997</v>
      </c>
      <c r="F110" s="21">
        <f t="shared" si="23"/>
        <v>0.81073446323567921</v>
      </c>
      <c r="G110" s="1"/>
      <c r="H110" s="22">
        <f t="shared" si="24"/>
        <v>917.99999950084157</v>
      </c>
      <c r="I110" s="19">
        <f t="shared" si="34"/>
        <v>0.72881355927192526</v>
      </c>
      <c r="J110" s="23">
        <f t="shared" si="35"/>
        <v>1.2288135592719254</v>
      </c>
      <c r="K110" s="1"/>
      <c r="L110" s="3">
        <f t="shared" si="25"/>
        <v>100</v>
      </c>
      <c r="M110" s="24">
        <f t="shared" si="26"/>
        <v>73.295505544272956</v>
      </c>
      <c r="N110" s="24">
        <f t="shared" si="27"/>
        <v>125.07263176862955</v>
      </c>
      <c r="O110" s="24">
        <f t="shared" si="28"/>
        <v>39.785972878830052</v>
      </c>
      <c r="P110" s="24">
        <f t="shared" si="29"/>
        <v>70.843100999790025</v>
      </c>
      <c r="Q110" s="24">
        <f t="shared" si="29"/>
        <v>121.02776653556452</v>
      </c>
      <c r="R110" s="1"/>
      <c r="S110" s="1"/>
      <c r="T110" s="1"/>
      <c r="U110" s="3">
        <f>L110</f>
        <v>100</v>
      </c>
      <c r="V110" s="24">
        <f>B110*$Y$4^U110</f>
        <v>10.117196112534771</v>
      </c>
      <c r="W110" s="24">
        <f t="shared" si="30"/>
        <v>17.046594206433571</v>
      </c>
      <c r="X110" s="24">
        <f>C110*$Y$4^(U110+1)</f>
        <v>5.3840940091312977</v>
      </c>
      <c r="Y110" s="24">
        <f t="shared" si="31"/>
        <v>9.4552560837574582</v>
      </c>
      <c r="Z110" s="1"/>
      <c r="AA110" s="25">
        <f>N110/M110</f>
        <v>1.7064161143288856</v>
      </c>
      <c r="AB110" s="1">
        <f>P110/M110/(1+$V$5)</f>
        <v>0.96654086050335519</v>
      </c>
      <c r="AC110" s="1">
        <f>(1-AB110*(1+$V$5))/$P$6</f>
        <v>1.7064161143288836</v>
      </c>
      <c r="AD110" s="26">
        <f t="shared" si="36"/>
        <v>1.9984014443252818E-15</v>
      </c>
      <c r="AE110" s="1">
        <f t="shared" si="37"/>
        <v>0.93457277872105327</v>
      </c>
      <c r="AF110" s="1">
        <f t="shared" si="38"/>
        <v>3.7154369848690916E-4</v>
      </c>
      <c r="AG110" s="1">
        <f t="shared" si="39"/>
        <v>0.96638515976444905</v>
      </c>
      <c r="AH110" s="1">
        <f t="shared" si="40"/>
        <v>0.98304891015882268</v>
      </c>
      <c r="AI110" s="1">
        <f t="shared" si="41"/>
        <v>0.5760897953928692</v>
      </c>
    </row>
    <row r="111" spans="1:35" x14ac:dyDescent="0.45">
      <c r="A111" s="16">
        <f t="shared" si="32"/>
        <v>101</v>
      </c>
      <c r="B111" s="17">
        <f t="shared" si="33"/>
        <v>236.9999998696016</v>
      </c>
      <c r="C111" s="18">
        <f t="shared" si="21"/>
        <v>139.99999992817141</v>
      </c>
      <c r="D111" s="19">
        <v>0.59071729959999997</v>
      </c>
      <c r="E111" s="20">
        <f t="shared" si="22"/>
        <v>0.40928270040000003</v>
      </c>
      <c r="F111" s="21">
        <f t="shared" si="23"/>
        <v>0.91561181439666728</v>
      </c>
      <c r="G111" s="1"/>
      <c r="H111" s="22">
        <f t="shared" si="24"/>
        <v>386.99999977417974</v>
      </c>
      <c r="I111" s="19">
        <f t="shared" si="34"/>
        <v>0.63291139235066995</v>
      </c>
      <c r="J111" s="23">
        <f t="shared" si="35"/>
        <v>1.13291139235067</v>
      </c>
      <c r="K111" s="1"/>
      <c r="L111" s="3">
        <f t="shared" si="25"/>
        <v>101</v>
      </c>
      <c r="M111" s="24">
        <f t="shared" si="26"/>
        <v>32.072365890065001</v>
      </c>
      <c r="N111" s="24">
        <f t="shared" si="27"/>
        <v>51.777126224356586</v>
      </c>
      <c r="O111" s="24">
        <f t="shared" si="28"/>
        <v>18.574217029767009</v>
      </c>
      <c r="P111" s="24">
        <f t="shared" si="29"/>
        <v>31.057128120959973</v>
      </c>
      <c r="Q111" s="24">
        <f t="shared" si="29"/>
        <v>50.184665535774499</v>
      </c>
      <c r="R111" s="1"/>
      <c r="S111" s="1"/>
      <c r="T111" s="1"/>
      <c r="U111" s="3">
        <f>L111</f>
        <v>101</v>
      </c>
      <c r="V111" s="24">
        <f>B111*$Y$4^U111</f>
        <v>4.3402390478994315</v>
      </c>
      <c r="W111" s="24">
        <f t="shared" si="30"/>
        <v>6.9293980938987998</v>
      </c>
      <c r="X111" s="24">
        <f>C111*$Y$4^(U111+1)</f>
        <v>2.4642967031849548</v>
      </c>
      <c r="Y111" s="24">
        <f t="shared" si="31"/>
        <v>4.0711620746261596</v>
      </c>
      <c r="Z111" s="1"/>
      <c r="AA111" s="25">
        <f>N111/M111</f>
        <v>1.6143843707019909</v>
      </c>
      <c r="AB111" s="1">
        <f>P111/M111/(1+$V$5)</f>
        <v>0.96834540449603945</v>
      </c>
      <c r="AC111" s="1">
        <f>(1-AB111*(1+$V$5))/$P$6</f>
        <v>1.6143843707019865</v>
      </c>
      <c r="AD111" s="26">
        <f t="shared" si="36"/>
        <v>4.4408920985006262E-15</v>
      </c>
      <c r="AE111" s="1">
        <f t="shared" si="37"/>
        <v>0.93800411214596613</v>
      </c>
      <c r="AF111" s="1">
        <f t="shared" si="38"/>
        <v>3.1128973736782584E-4</v>
      </c>
      <c r="AG111" s="1">
        <f t="shared" si="39"/>
        <v>0.80966460689371356</v>
      </c>
      <c r="AH111" s="1">
        <f t="shared" si="40"/>
        <v>0.89981365120435552</v>
      </c>
      <c r="AI111" s="1">
        <f t="shared" si="41"/>
        <v>0.5573726229851228</v>
      </c>
    </row>
    <row r="112" spans="1:35" x14ac:dyDescent="0.45">
      <c r="A112" s="16">
        <f t="shared" si="32"/>
        <v>102</v>
      </c>
      <c r="B112" s="17">
        <f t="shared" si="33"/>
        <v>96.99999994143019</v>
      </c>
      <c r="C112" s="18">
        <f t="shared" si="21"/>
        <v>60.999999964967436</v>
      </c>
      <c r="D112" s="19">
        <v>0.6288659794</v>
      </c>
      <c r="E112" s="20">
        <f t="shared" si="22"/>
        <v>0.3711340206</v>
      </c>
      <c r="F112" s="21">
        <f t="shared" si="23"/>
        <v>1.0360824743015729</v>
      </c>
      <c r="G112" s="1"/>
      <c r="H112" s="22">
        <f t="shared" si="24"/>
        <v>149.99999990457815</v>
      </c>
      <c r="I112" s="19">
        <f t="shared" si="34"/>
        <v>0.54639175252731964</v>
      </c>
      <c r="J112" s="23">
        <f t="shared" si="35"/>
        <v>1.0463917525273196</v>
      </c>
      <c r="K112" s="1"/>
      <c r="L112" s="3">
        <f t="shared" si="25"/>
        <v>102</v>
      </c>
      <c r="M112" s="24">
        <f t="shared" si="26"/>
        <v>12.869278940884955</v>
      </c>
      <c r="N112" s="24">
        <f t="shared" si="27"/>
        <v>19.704760334291585</v>
      </c>
      <c r="O112" s="24">
        <f t="shared" si="28"/>
        <v>7.9343644169915803</v>
      </c>
      <c r="P112" s="24">
        <f t="shared" si="29"/>
        <v>12.482911091192964</v>
      </c>
      <c r="Q112" s="24">
        <f t="shared" si="29"/>
        <v>19.127537414814523</v>
      </c>
      <c r="R112" s="1"/>
      <c r="S112" s="1"/>
      <c r="T112" s="1"/>
      <c r="U112" s="3">
        <f>L112</f>
        <v>102</v>
      </c>
      <c r="V112" s="24">
        <f>B112*$Y$4^U112</f>
        <v>1.7074055727660553</v>
      </c>
      <c r="W112" s="24">
        <f t="shared" si="30"/>
        <v>2.5891590459993683</v>
      </c>
      <c r="X112" s="24">
        <f>C112*$Y$4^(U112+1)</f>
        <v>1.0320350612750322</v>
      </c>
      <c r="Y112" s="24">
        <f t="shared" si="31"/>
        <v>1.6068653714412049</v>
      </c>
      <c r="Z112" s="1"/>
      <c r="AA112" s="25">
        <f>N112/M112</f>
        <v>1.5311471936233116</v>
      </c>
      <c r="AB112" s="1">
        <f>P112/M112/(1+$V$5)</f>
        <v>0.96997750600738608</v>
      </c>
      <c r="AC112" s="1">
        <f>(1-AB112*(1+$V$5))/$P$6</f>
        <v>1.5311471936233085</v>
      </c>
      <c r="AD112" s="26">
        <f t="shared" si="36"/>
        <v>3.1086244689504383E-15</v>
      </c>
      <c r="AE112" s="1">
        <f t="shared" si="37"/>
        <v>0.94111522011611348</v>
      </c>
      <c r="AF112" s="1">
        <f t="shared" si="38"/>
        <v>2.588579558048254E-4</v>
      </c>
      <c r="AG112" s="1">
        <f t="shared" si="39"/>
        <v>0.67328954304834976</v>
      </c>
      <c r="AH112" s="1">
        <f t="shared" si="40"/>
        <v>0.82054222502461738</v>
      </c>
      <c r="AI112" s="1">
        <f t="shared" si="41"/>
        <v>0.53590028995375916</v>
      </c>
    </row>
    <row r="113" spans="1:35" x14ac:dyDescent="0.45">
      <c r="A113" s="16">
        <f t="shared" si="32"/>
        <v>103</v>
      </c>
      <c r="B113" s="17">
        <f t="shared" si="33"/>
        <v>35.999999976462753</v>
      </c>
      <c r="C113" s="18">
        <f t="shared" si="21"/>
        <v>23.999999985508502</v>
      </c>
      <c r="D113" s="19">
        <v>0.66666666669999997</v>
      </c>
      <c r="E113" s="20">
        <f t="shared" si="22"/>
        <v>0.33333333330000003</v>
      </c>
      <c r="F113" s="21">
        <f t="shared" si="23"/>
        <v>1.1805555556395833</v>
      </c>
      <c r="G113" s="1"/>
      <c r="H113" s="22">
        <f t="shared" si="24"/>
        <v>52.999999963147943</v>
      </c>
      <c r="I113" s="19">
        <f t="shared" si="34"/>
        <v>0.4722222221611112</v>
      </c>
      <c r="J113" s="23">
        <f t="shared" si="35"/>
        <v>0.9722222221611112</v>
      </c>
      <c r="K113" s="1"/>
      <c r="L113" s="3">
        <f t="shared" si="25"/>
        <v>103</v>
      </c>
      <c r="M113" s="24">
        <f t="shared" si="26"/>
        <v>4.6825757211309247</v>
      </c>
      <c r="N113" s="24">
        <f t="shared" si="27"/>
        <v>6.8354813934066314</v>
      </c>
      <c r="O113" s="24">
        <f t="shared" si="28"/>
        <v>3.0605070074281393</v>
      </c>
      <c r="P113" s="24">
        <f t="shared" si="29"/>
        <v>4.5485466742013827</v>
      </c>
      <c r="Q113" s="24">
        <f t="shared" si="29"/>
        <v>6.6446263236215577</v>
      </c>
      <c r="R113" s="1"/>
      <c r="S113" s="1"/>
      <c r="T113" s="1"/>
      <c r="U113" s="3">
        <f>L113</f>
        <v>103</v>
      </c>
      <c r="V113" s="24">
        <f>B113*$Y$4^U113</f>
        <v>0.60906987217946185</v>
      </c>
      <c r="W113" s="24">
        <f t="shared" si="30"/>
        <v>0.88175347323331321</v>
      </c>
      <c r="X113" s="24">
        <f>C113*$Y$4^(U113+1)</f>
        <v>0.39027929784051979</v>
      </c>
      <c r="Y113" s="24">
        <f t="shared" si="31"/>
        <v>0.5748303101661727</v>
      </c>
      <c r="Z113" s="1"/>
      <c r="AA113" s="25">
        <f>N113/M113</f>
        <v>1.4597695372143906</v>
      </c>
      <c r="AB113" s="1">
        <f>P113/M113/(1+$V$5)</f>
        <v>0.97137706789775702</v>
      </c>
      <c r="AC113" s="1">
        <f>(1-AB113*(1+$V$5))/$P$6</f>
        <v>1.4597695372143908</v>
      </c>
      <c r="AD113" s="26">
        <f t="shared" si="36"/>
        <v>2.2204460492503131E-16</v>
      </c>
      <c r="AE113" s="1">
        <f t="shared" si="37"/>
        <v>0.94378385210424509</v>
      </c>
      <c r="AF113" s="1">
        <f t="shared" si="38"/>
        <v>2.104440666014229E-4</v>
      </c>
      <c r="AG113" s="1">
        <f t="shared" si="39"/>
        <v>0.54736501723030007</v>
      </c>
      <c r="AH113" s="1">
        <f t="shared" si="40"/>
        <v>0.7398412108218223</v>
      </c>
      <c r="AI113" s="1">
        <f t="shared" si="41"/>
        <v>0.50682055760228184</v>
      </c>
    </row>
    <row r="114" spans="1:35" x14ac:dyDescent="0.45">
      <c r="A114" s="16">
        <f t="shared" si="32"/>
        <v>104</v>
      </c>
      <c r="B114" s="17">
        <f t="shared" si="33"/>
        <v>11.999999990954253</v>
      </c>
      <c r="C114" s="18">
        <f t="shared" si="21"/>
        <v>7.9999999943695013</v>
      </c>
      <c r="D114" s="19">
        <v>0.66666666669999997</v>
      </c>
      <c r="E114" s="20">
        <f t="shared" si="22"/>
        <v>0.33333333330000003</v>
      </c>
      <c r="F114" s="21">
        <f t="shared" si="23"/>
        <v>1.3333333334999999</v>
      </c>
      <c r="G114" s="1"/>
      <c r="H114" s="22">
        <f t="shared" si="24"/>
        <v>16.999999986685193</v>
      </c>
      <c r="I114" s="19">
        <f t="shared" si="34"/>
        <v>0.41666666662500007</v>
      </c>
      <c r="J114" s="23">
        <f t="shared" si="35"/>
        <v>0.91666666662500007</v>
      </c>
      <c r="K114" s="1"/>
      <c r="L114" s="3">
        <f t="shared" si="25"/>
        <v>104</v>
      </c>
      <c r="M114" s="24">
        <f t="shared" si="26"/>
        <v>1.5302535034845319</v>
      </c>
      <c r="N114" s="24">
        <f t="shared" si="27"/>
        <v>2.1529056722757063</v>
      </c>
      <c r="O114" s="24">
        <f t="shared" si="28"/>
        <v>1.0001656886019898</v>
      </c>
      <c r="P114" s="24">
        <f t="shared" si="29"/>
        <v>1.4880396667732434</v>
      </c>
      <c r="Q114" s="24">
        <f t="shared" si="29"/>
        <v>2.096079649420175</v>
      </c>
      <c r="R114" s="1"/>
      <c r="S114" s="1"/>
      <c r="T114" s="1"/>
      <c r="U114" s="3">
        <f>L114</f>
        <v>104</v>
      </c>
      <c r="V114" s="24">
        <f>B114*$Y$4^U114</f>
        <v>0.19513964889098898</v>
      </c>
      <c r="W114" s="24">
        <f t="shared" si="30"/>
        <v>0.27268360105385137</v>
      </c>
      <c r="X114" s="24">
        <f>C114*$Y$4^(U114+1)</f>
        <v>0.12504142567009224</v>
      </c>
      <c r="Y114" s="24">
        <f t="shared" si="31"/>
        <v>0.18455101232565296</v>
      </c>
      <c r="Z114" s="1"/>
      <c r="AA114" s="25">
        <f>N114/M114</f>
        <v>1.4068947840167243</v>
      </c>
      <c r="AB114" s="1">
        <f>P114/M114/(1+$V$5)</f>
        <v>0.97241382776437779</v>
      </c>
      <c r="AC114" s="1">
        <f>(1-AB114*(1+$V$5))/$P$6</f>
        <v>1.4068947840167314</v>
      </c>
      <c r="AD114" s="26">
        <f t="shared" si="36"/>
        <v>7.1054273576010019E-15</v>
      </c>
      <c r="AE114" s="1">
        <f t="shared" si="37"/>
        <v>0.94573815918234461</v>
      </c>
      <c r="AF114" s="1">
        <f t="shared" si="38"/>
        <v>1.4950675497560351E-4</v>
      </c>
      <c r="AG114" s="1">
        <f t="shared" si="39"/>
        <v>0.38886706969154405</v>
      </c>
      <c r="AH114" s="1">
        <f t="shared" si="40"/>
        <v>0.62359206993959126</v>
      </c>
      <c r="AI114" s="1">
        <f t="shared" si="41"/>
        <v>0.44324001838944793</v>
      </c>
    </row>
    <row r="115" spans="1:35" x14ac:dyDescent="0.45">
      <c r="A115" s="16">
        <f t="shared" si="32"/>
        <v>105</v>
      </c>
      <c r="B115" s="17">
        <f t="shared" si="33"/>
        <v>3.9999999965847515</v>
      </c>
      <c r="C115" s="18">
        <f t="shared" si="21"/>
        <v>2.9999999974385636</v>
      </c>
      <c r="D115" s="19">
        <v>0.75</v>
      </c>
      <c r="E115" s="20">
        <f t="shared" si="22"/>
        <v>0.25</v>
      </c>
      <c r="F115" s="21">
        <f t="shared" si="23"/>
        <v>1.3750000001499998</v>
      </c>
      <c r="G115" s="1"/>
      <c r="H115" s="22">
        <f t="shared" si="24"/>
        <v>4.9999999957309393</v>
      </c>
      <c r="I115" s="19">
        <f t="shared" si="34"/>
        <v>0.25</v>
      </c>
      <c r="J115" s="23">
        <f t="shared" si="35"/>
        <v>0.75</v>
      </c>
      <c r="K115" s="1"/>
      <c r="L115" s="3">
        <f t="shared" si="25"/>
        <v>105</v>
      </c>
      <c r="M115" s="24">
        <f t="shared" si="26"/>
        <v>0.50008284422598259</v>
      </c>
      <c r="N115" s="24">
        <f t="shared" si="27"/>
        <v>0.62265216879117435</v>
      </c>
      <c r="O115" s="24">
        <f t="shared" si="28"/>
        <v>0.3677079736955754</v>
      </c>
      <c r="P115" s="24">
        <f t="shared" si="29"/>
        <v>0.48787397817125361</v>
      </c>
      <c r="Q115" s="24">
        <f t="shared" si="29"/>
        <v>0.60803998264693182</v>
      </c>
      <c r="R115" s="1"/>
      <c r="S115" s="1"/>
      <c r="T115" s="1"/>
      <c r="U115" s="3">
        <f>L115</f>
        <v>105</v>
      </c>
      <c r="V115" s="24">
        <f>B115*$Y$4^U115</f>
        <v>6.2520712825668026E-2</v>
      </c>
      <c r="W115" s="24">
        <f t="shared" si="30"/>
        <v>7.7543952162862376E-2</v>
      </c>
      <c r="X115" s="24">
        <f>C115*$Y$4^(U115+1)</f>
        <v>4.5069718011583056E-2</v>
      </c>
      <c r="Y115" s="24">
        <f t="shared" si="31"/>
        <v>5.9509586655560713E-2</v>
      </c>
      <c r="Z115" s="1"/>
      <c r="AA115" s="25">
        <f>N115/M115</f>
        <v>1.2450980392156861</v>
      </c>
      <c r="AB115" s="1">
        <f>P115/M115/(1+$V$5)</f>
        <v>0.97558631295655507</v>
      </c>
      <c r="AC115" s="1">
        <f>(1-AB115*(1+$V$5))/$P$6</f>
        <v>1.2450980392156905</v>
      </c>
      <c r="AD115" s="26">
        <f t="shared" si="36"/>
        <v>4.4408920985006262E-15</v>
      </c>
      <c r="AE115" s="1">
        <f t="shared" si="37"/>
        <v>0.95183794243511743</v>
      </c>
      <c r="AF115" s="1">
        <f t="shared" si="38"/>
        <v>6.9288406951972803E-5</v>
      </c>
      <c r="AG115" s="1">
        <f t="shared" si="39"/>
        <v>0.18021914648208096</v>
      </c>
      <c r="AH115" s="1">
        <f t="shared" si="40"/>
        <v>0.42452225675702909</v>
      </c>
      <c r="AI115" s="1">
        <f t="shared" si="41"/>
        <v>0.34095488337966123</v>
      </c>
    </row>
    <row r="116" spans="1:35" x14ac:dyDescent="0.45">
      <c r="A116" s="16">
        <f t="shared" si="32"/>
        <v>106</v>
      </c>
      <c r="B116" s="17">
        <f t="shared" si="33"/>
        <v>0.99999999914618787</v>
      </c>
      <c r="C116" s="18">
        <f t="shared" si="21"/>
        <v>0.99999999914618787</v>
      </c>
      <c r="D116" s="19">
        <v>1</v>
      </c>
      <c r="E116" s="20">
        <f t="shared" si="22"/>
        <v>0</v>
      </c>
      <c r="F116" s="21">
        <f t="shared" si="23"/>
        <v>2</v>
      </c>
      <c r="G116" s="1"/>
      <c r="H116" s="22">
        <f t="shared" si="24"/>
        <v>0.99999999914618787</v>
      </c>
      <c r="I116" s="19">
        <f t="shared" si="34"/>
        <v>0</v>
      </c>
      <c r="J116" s="23">
        <f t="shared" si="35"/>
        <v>0.5</v>
      </c>
      <c r="K116" s="1"/>
      <c r="L116" s="3">
        <f t="shared" si="25"/>
        <v>106</v>
      </c>
      <c r="M116" s="24">
        <f t="shared" si="26"/>
        <v>0.1225693245651918</v>
      </c>
      <c r="N116" s="24">
        <f t="shared" si="27"/>
        <v>0.1225693245651918</v>
      </c>
      <c r="O116" s="24">
        <f t="shared" si="28"/>
        <v>0.12016600447567823</v>
      </c>
      <c r="P116" s="24">
        <f t="shared" si="29"/>
        <v>0.12016600447567823</v>
      </c>
      <c r="Q116" s="24">
        <f t="shared" si="29"/>
        <v>0.12016600447567823</v>
      </c>
      <c r="R116" s="1"/>
      <c r="S116" s="1"/>
      <c r="T116" s="1"/>
      <c r="U116" s="3">
        <f>L116</f>
        <v>106</v>
      </c>
      <c r="V116" s="24">
        <f>B116*$Y$4^U116</f>
        <v>1.5023239337194351E-2</v>
      </c>
      <c r="W116" s="24">
        <f t="shared" si="30"/>
        <v>1.5023239337194351E-2</v>
      </c>
      <c r="X116" s="24">
        <f>C116*$Y$4^(U116+1)</f>
        <v>1.4439868643977656E-2</v>
      </c>
      <c r="Y116" s="24">
        <f t="shared" si="31"/>
        <v>1.4439868643977656E-2</v>
      </c>
      <c r="Z116" s="1"/>
      <c r="AA116" s="25">
        <f>N116/M116</f>
        <v>1</v>
      </c>
      <c r="AB116" s="1">
        <f>P116/M116/(1+$V$5)</f>
        <v>0.98039215686274495</v>
      </c>
      <c r="AC116" s="1">
        <f>(1-AB116*(1+$V$5))/$P$6</f>
        <v>1.0000000000000069</v>
      </c>
      <c r="AD116" s="26">
        <f t="shared" si="36"/>
        <v>6.8833827526759706E-15</v>
      </c>
      <c r="AE116" s="1">
        <f t="shared" si="37"/>
        <v>0.96116878123798555</v>
      </c>
      <c r="AF116" s="1">
        <f t="shared" si="38"/>
        <v>4.4408920985006262E-16</v>
      </c>
      <c r="AG116" s="1">
        <f t="shared" si="39"/>
        <v>1.1550760348200108E-12</v>
      </c>
      <c r="AH116" s="1">
        <f t="shared" si="40"/>
        <v>1.074744637027797E-6</v>
      </c>
      <c r="AI116" s="1">
        <f t="shared" si="41"/>
        <v>1.074744637027797E-6</v>
      </c>
    </row>
    <row r="117" spans="1:35" x14ac:dyDescent="0.45">
      <c r="A117" s="16">
        <f t="shared" si="32"/>
        <v>107</v>
      </c>
      <c r="B117" s="17">
        <f t="shared" si="33"/>
        <v>0</v>
      </c>
      <c r="C117" s="18">
        <f t="shared" si="21"/>
        <v>0</v>
      </c>
      <c r="D117" s="19"/>
      <c r="E117" s="20"/>
      <c r="F117" s="21"/>
      <c r="G117" s="1"/>
      <c r="H117" s="22">
        <f t="shared" si="24"/>
        <v>0</v>
      </c>
      <c r="I117" s="19" t="e">
        <f t="shared" si="34"/>
        <v>#DIV/0!</v>
      </c>
      <c r="J117" s="23" t="e">
        <f t="shared" si="35"/>
        <v>#DIV/0!</v>
      </c>
      <c r="K117" s="1"/>
      <c r="L117" s="3">
        <f t="shared" si="25"/>
        <v>107</v>
      </c>
      <c r="M117" s="24">
        <f t="shared" si="26"/>
        <v>0</v>
      </c>
      <c r="N117" s="24">
        <f t="shared" si="27"/>
        <v>0</v>
      </c>
      <c r="O117" s="24">
        <f t="shared" si="28"/>
        <v>0</v>
      </c>
      <c r="P117" s="24">
        <f t="shared" si="29"/>
        <v>0</v>
      </c>
      <c r="Q117" s="24">
        <f t="shared" si="29"/>
        <v>0</v>
      </c>
      <c r="R117" s="1"/>
      <c r="S117" s="1"/>
      <c r="T117" s="1"/>
      <c r="U117" s="3">
        <f>L117</f>
        <v>107</v>
      </c>
      <c r="V117" s="24">
        <f>B117*$Y$4^U117</f>
        <v>0</v>
      </c>
      <c r="W117" s="24">
        <f t="shared" si="30"/>
        <v>0</v>
      </c>
      <c r="X117" s="24">
        <f>C117*$Y$4^(U117+1)</f>
        <v>0</v>
      </c>
      <c r="Y117" s="24">
        <f t="shared" si="31"/>
        <v>0</v>
      </c>
      <c r="Z117" s="1"/>
      <c r="AA117" s="25" t="e">
        <f>N117/M117</f>
        <v>#DIV/0!</v>
      </c>
      <c r="AB117" s="1" t="e">
        <f>P117/M117/(1+$V$5)</f>
        <v>#DIV/0!</v>
      </c>
      <c r="AC117" s="1" t="e">
        <f>(1-AB117*(1+$V$5))/$P$6</f>
        <v>#DIV/0!</v>
      </c>
      <c r="AD117" s="26" t="e">
        <f t="shared" si="36"/>
        <v>#DIV/0!</v>
      </c>
      <c r="AE117" s="1" t="e">
        <f t="shared" si="37"/>
        <v>#DIV/0!</v>
      </c>
      <c r="AF117" s="1" t="e">
        <f t="shared" si="38"/>
        <v>#DIV/0!</v>
      </c>
      <c r="AG117" s="1" t="e">
        <f t="shared" si="39"/>
        <v>#DIV/0!</v>
      </c>
      <c r="AH117" s="1" t="e">
        <f t="shared" si="40"/>
        <v>#DIV/0!</v>
      </c>
      <c r="AI117" s="1" t="e">
        <f t="shared" si="41"/>
        <v>#DIV/0!</v>
      </c>
    </row>
    <row r="118" spans="1:35" x14ac:dyDescent="0.45">
      <c r="A118" s="16">
        <f t="shared" si="32"/>
        <v>108</v>
      </c>
      <c r="B118" s="17"/>
      <c r="C118" s="18"/>
      <c r="D118" s="19"/>
      <c r="E118" s="20"/>
      <c r="F118" s="21"/>
      <c r="G118" s="1"/>
      <c r="H118" s="22">
        <f t="shared" si="24"/>
        <v>0</v>
      </c>
      <c r="I118" s="19" t="e">
        <f t="shared" si="34"/>
        <v>#DIV/0!</v>
      </c>
      <c r="J118" s="23" t="e">
        <f t="shared" si="35"/>
        <v>#DIV/0!</v>
      </c>
      <c r="K118" s="1"/>
      <c r="L118" s="3">
        <f t="shared" si="25"/>
        <v>108</v>
      </c>
      <c r="M118" s="24">
        <f t="shared" si="26"/>
        <v>0</v>
      </c>
      <c r="N118" s="24">
        <f t="shared" si="27"/>
        <v>0</v>
      </c>
      <c r="O118" s="24">
        <f t="shared" si="28"/>
        <v>0</v>
      </c>
      <c r="P118" s="24">
        <f t="shared" si="29"/>
        <v>0</v>
      </c>
      <c r="Q118" s="24">
        <f t="shared" si="29"/>
        <v>0</v>
      </c>
      <c r="R118" s="1"/>
      <c r="S118" s="1"/>
      <c r="T118" s="1"/>
      <c r="U118" s="3">
        <f>L118</f>
        <v>108</v>
      </c>
      <c r="V118" s="24">
        <f>B118*$Y$4^U118</f>
        <v>0</v>
      </c>
      <c r="W118" s="24">
        <f t="shared" si="30"/>
        <v>0</v>
      </c>
      <c r="X118" s="24">
        <f>C118*$Y$4^(U118+1)</f>
        <v>0</v>
      </c>
      <c r="Y118" s="24">
        <f t="shared" si="31"/>
        <v>0</v>
      </c>
      <c r="Z118" s="1"/>
      <c r="AA118" s="25" t="e">
        <f>N118/M118</f>
        <v>#DIV/0!</v>
      </c>
      <c r="AB118" s="1" t="e">
        <f>P118/M118/(1+$V$5)</f>
        <v>#DIV/0!</v>
      </c>
      <c r="AC118" s="1" t="e">
        <f>(1-AB118*(1+$V$5))/$P$6</f>
        <v>#DIV/0!</v>
      </c>
      <c r="AD118" s="26" t="e">
        <f t="shared" si="36"/>
        <v>#DIV/0!</v>
      </c>
      <c r="AE118" s="1" t="e">
        <f t="shared" si="37"/>
        <v>#DIV/0!</v>
      </c>
      <c r="AF118" s="1" t="e">
        <f t="shared" si="38"/>
        <v>#DIV/0!</v>
      </c>
      <c r="AG118" s="1" t="e">
        <f t="shared" si="39"/>
        <v>#DIV/0!</v>
      </c>
      <c r="AH118" s="1" t="e">
        <f t="shared" si="40"/>
        <v>#DIV/0!</v>
      </c>
      <c r="AI118" s="1" t="e">
        <f t="shared" si="41"/>
        <v>#DIV/0!</v>
      </c>
    </row>
    <row r="119" spans="1:35" x14ac:dyDescent="0.45">
      <c r="A119" s="16">
        <f t="shared" si="32"/>
        <v>109</v>
      </c>
      <c r="B119" s="17"/>
      <c r="C119" s="18"/>
      <c r="D119" s="19"/>
      <c r="E119" s="20"/>
      <c r="F119" s="21"/>
      <c r="G119" s="1"/>
      <c r="H119" s="22">
        <f t="shared" si="24"/>
        <v>0</v>
      </c>
      <c r="I119" s="19" t="e">
        <f t="shared" si="34"/>
        <v>#DIV/0!</v>
      </c>
      <c r="J119" s="23" t="e">
        <f t="shared" si="35"/>
        <v>#DIV/0!</v>
      </c>
      <c r="K119" s="1"/>
      <c r="L119" s="3">
        <f t="shared" si="25"/>
        <v>109</v>
      </c>
      <c r="M119" s="24">
        <f t="shared" si="26"/>
        <v>0</v>
      </c>
      <c r="N119" s="24">
        <f t="shared" si="27"/>
        <v>0</v>
      </c>
      <c r="O119" s="24">
        <f t="shared" si="28"/>
        <v>0</v>
      </c>
      <c r="P119" s="24">
        <f t="shared" si="29"/>
        <v>0</v>
      </c>
      <c r="Q119" s="24">
        <f t="shared" si="29"/>
        <v>0</v>
      </c>
      <c r="R119" s="1"/>
      <c r="S119" s="1"/>
      <c r="T119" s="1"/>
      <c r="U119" s="3">
        <f>L119</f>
        <v>109</v>
      </c>
      <c r="V119" s="24">
        <f>B119*$Y$4^U119</f>
        <v>0</v>
      </c>
      <c r="W119" s="24">
        <f t="shared" si="30"/>
        <v>0</v>
      </c>
      <c r="X119" s="24">
        <f>C119*$Y$4^(U119+1)</f>
        <v>0</v>
      </c>
      <c r="Y119" s="24">
        <f t="shared" si="31"/>
        <v>0</v>
      </c>
      <c r="Z119" s="1"/>
      <c r="AA119" s="25" t="e">
        <f>N119/M119</f>
        <v>#DIV/0!</v>
      </c>
      <c r="AB119" s="1" t="e">
        <f>P119/M119/(1+$V$5)</f>
        <v>#DIV/0!</v>
      </c>
      <c r="AC119" s="1" t="e">
        <f>(1-AB119*(1+$V$5))/$P$6</f>
        <v>#DIV/0!</v>
      </c>
      <c r="AD119" s="26" t="e">
        <f t="shared" si="36"/>
        <v>#DIV/0!</v>
      </c>
      <c r="AE119" s="1" t="e">
        <f t="shared" si="37"/>
        <v>#DIV/0!</v>
      </c>
      <c r="AF119" s="1" t="e">
        <f t="shared" si="38"/>
        <v>#DIV/0!</v>
      </c>
      <c r="AG119" s="1" t="e">
        <f t="shared" si="39"/>
        <v>#DIV/0!</v>
      </c>
      <c r="AH119" s="1" t="e">
        <f t="shared" si="40"/>
        <v>#DIV/0!</v>
      </c>
      <c r="AI119" s="1" t="e">
        <f t="shared" si="41"/>
        <v>#DIV/0!</v>
      </c>
    </row>
    <row r="120" spans="1:35" x14ac:dyDescent="0.45">
      <c r="A120" s="16">
        <f t="shared" si="32"/>
        <v>110</v>
      </c>
      <c r="B120" s="17"/>
      <c r="C120" s="18"/>
      <c r="D120" s="19"/>
      <c r="E120" s="20"/>
      <c r="F120" s="21"/>
      <c r="G120" s="1"/>
      <c r="H120" s="22">
        <f t="shared" si="24"/>
        <v>0</v>
      </c>
      <c r="I120" s="19" t="e">
        <f t="shared" si="34"/>
        <v>#DIV/0!</v>
      </c>
      <c r="J120" s="23" t="e">
        <f t="shared" si="35"/>
        <v>#DIV/0!</v>
      </c>
      <c r="K120" s="1"/>
      <c r="L120" s="3">
        <f t="shared" si="25"/>
        <v>110</v>
      </c>
      <c r="M120" s="24">
        <f t="shared" si="26"/>
        <v>0</v>
      </c>
      <c r="N120" s="24">
        <f t="shared" si="27"/>
        <v>0</v>
      </c>
      <c r="O120" s="24">
        <f t="shared" si="28"/>
        <v>0</v>
      </c>
      <c r="P120" s="24">
        <f t="shared" si="29"/>
        <v>0</v>
      </c>
      <c r="Q120" s="24">
        <f t="shared" si="29"/>
        <v>0</v>
      </c>
      <c r="R120" s="1"/>
      <c r="S120" s="1"/>
      <c r="T120" s="1"/>
      <c r="U120" s="3">
        <f>L120</f>
        <v>110</v>
      </c>
      <c r="V120" s="24">
        <f>B120*$Y$4^U120</f>
        <v>0</v>
      </c>
      <c r="W120" s="24">
        <f t="shared" si="30"/>
        <v>0</v>
      </c>
      <c r="X120" s="24">
        <f>C120*$Y$4^(U120+1)</f>
        <v>0</v>
      </c>
      <c r="Y120" s="24">
        <f t="shared" si="31"/>
        <v>0</v>
      </c>
      <c r="Z120" s="1"/>
      <c r="AA120" s="25" t="e">
        <f>N120/M120</f>
        <v>#DIV/0!</v>
      </c>
      <c r="AB120" s="1" t="e">
        <f>P120/M120/(1+$V$5)</f>
        <v>#DIV/0!</v>
      </c>
      <c r="AC120" s="1" t="e">
        <f>(1-AB120*(1+$V$5))/$P$6</f>
        <v>#DIV/0!</v>
      </c>
      <c r="AD120" s="26" t="e">
        <f t="shared" si="36"/>
        <v>#DIV/0!</v>
      </c>
      <c r="AE120" s="1" t="e">
        <f t="shared" si="37"/>
        <v>#DIV/0!</v>
      </c>
      <c r="AF120" s="1" t="e">
        <f t="shared" si="38"/>
        <v>#DIV/0!</v>
      </c>
      <c r="AG120" s="1" t="e">
        <f t="shared" si="39"/>
        <v>#DIV/0!</v>
      </c>
      <c r="AH120" s="1" t="e">
        <f t="shared" si="40"/>
        <v>#DIV/0!</v>
      </c>
      <c r="AI120" s="1" t="e">
        <f t="shared" si="41"/>
        <v>#DIV/0!</v>
      </c>
    </row>
    <row r="121" spans="1:35" x14ac:dyDescent="0.45">
      <c r="A121" s="16">
        <f t="shared" si="32"/>
        <v>111</v>
      </c>
      <c r="B121" s="17"/>
      <c r="C121" s="18"/>
      <c r="D121" s="19"/>
      <c r="E121" s="20"/>
      <c r="F121" s="21"/>
      <c r="G121" s="1"/>
      <c r="H121" s="22">
        <f t="shared" si="24"/>
        <v>0</v>
      </c>
      <c r="I121" s="19" t="e">
        <f t="shared" si="34"/>
        <v>#DIV/0!</v>
      </c>
      <c r="J121" s="23" t="e">
        <f t="shared" si="35"/>
        <v>#DIV/0!</v>
      </c>
      <c r="K121" s="1"/>
      <c r="L121" s="3">
        <f t="shared" si="25"/>
        <v>111</v>
      </c>
      <c r="M121" s="27">
        <f t="shared" si="26"/>
        <v>0</v>
      </c>
      <c r="N121" s="27">
        <f t="shared" si="27"/>
        <v>0</v>
      </c>
      <c r="O121" s="27">
        <f t="shared" si="28"/>
        <v>0</v>
      </c>
      <c r="P121" s="27">
        <f t="shared" si="29"/>
        <v>0</v>
      </c>
      <c r="Q121" s="27">
        <f t="shared" si="29"/>
        <v>0</v>
      </c>
      <c r="R121" s="1"/>
      <c r="S121" s="1"/>
      <c r="T121" s="1"/>
      <c r="U121" s="3">
        <f>L121</f>
        <v>111</v>
      </c>
      <c r="V121" s="24">
        <f>B121*$Y$4^U121</f>
        <v>0</v>
      </c>
      <c r="W121" s="27">
        <f t="shared" si="30"/>
        <v>0</v>
      </c>
      <c r="X121" s="24">
        <f>C121*$Y$4^(U121+1)</f>
        <v>0</v>
      </c>
      <c r="Y121" s="27">
        <f t="shared" si="31"/>
        <v>0</v>
      </c>
      <c r="Z121" s="1"/>
      <c r="AA121" s="1"/>
      <c r="AB121" s="1"/>
      <c r="AC121" s="1"/>
      <c r="AD121" s="1"/>
      <c r="AE121" s="1"/>
      <c r="AF121" s="1"/>
      <c r="AG121" s="1"/>
      <c r="AH121" s="1"/>
      <c r="AI121" s="1"/>
    </row>
    <row r="122" spans="1:35" x14ac:dyDescent="0.45">
      <c r="A122" s="16">
        <f t="shared" si="32"/>
        <v>112</v>
      </c>
      <c r="B122" s="17"/>
      <c r="C122" s="18"/>
      <c r="D122" s="19"/>
      <c r="E122" s="20"/>
      <c r="F122" s="21"/>
      <c r="G122" s="1"/>
      <c r="H122" s="22">
        <f t="shared" si="24"/>
        <v>0</v>
      </c>
      <c r="I122" s="19" t="e">
        <f t="shared" si="34"/>
        <v>#DIV/0!</v>
      </c>
      <c r="J122" s="23" t="e">
        <f t="shared" si="35"/>
        <v>#DIV/0!</v>
      </c>
      <c r="K122" s="1"/>
      <c r="L122" s="3">
        <f t="shared" si="25"/>
        <v>112</v>
      </c>
      <c r="M122" s="27">
        <f t="shared" si="26"/>
        <v>0</v>
      </c>
      <c r="N122" s="27">
        <f t="shared" si="27"/>
        <v>0</v>
      </c>
      <c r="O122" s="27">
        <f t="shared" si="28"/>
        <v>0</v>
      </c>
      <c r="P122" s="27">
        <f t="shared" si="29"/>
        <v>0</v>
      </c>
      <c r="Q122" s="27">
        <f t="shared" si="29"/>
        <v>0</v>
      </c>
      <c r="R122" s="1"/>
      <c r="S122" s="1"/>
      <c r="T122" s="1"/>
      <c r="U122" s="3">
        <f>L122</f>
        <v>112</v>
      </c>
      <c r="V122" s="24">
        <f>B122*$Y$4^U122</f>
        <v>0</v>
      </c>
      <c r="W122" s="27">
        <f t="shared" si="30"/>
        <v>0</v>
      </c>
      <c r="X122" s="24">
        <f>C122*$Y$4^(U122+1)</f>
        <v>0</v>
      </c>
      <c r="Y122" s="27">
        <f t="shared" si="31"/>
        <v>0</v>
      </c>
      <c r="Z122" s="1"/>
      <c r="AA122" s="1"/>
      <c r="AB122" s="1"/>
      <c r="AC122" s="1"/>
      <c r="AD122" s="1"/>
      <c r="AE122" s="1"/>
      <c r="AF122" s="1"/>
      <c r="AG122" s="1"/>
      <c r="AH122" s="1"/>
      <c r="AI122" s="1"/>
    </row>
    <row r="123" spans="1:35" x14ac:dyDescent="0.45">
      <c r="A123" s="16">
        <f t="shared" si="32"/>
        <v>113</v>
      </c>
      <c r="B123" s="17"/>
      <c r="C123" s="18"/>
      <c r="D123" s="19"/>
      <c r="E123" s="20"/>
      <c r="F123" s="21"/>
      <c r="G123" s="1"/>
      <c r="H123" s="22">
        <f t="shared" si="24"/>
        <v>0</v>
      </c>
      <c r="I123" s="19" t="e">
        <f t="shared" si="34"/>
        <v>#DIV/0!</v>
      </c>
      <c r="J123" s="23" t="e">
        <f t="shared" si="35"/>
        <v>#DIV/0!</v>
      </c>
      <c r="K123" s="1"/>
      <c r="L123" s="3">
        <f t="shared" si="25"/>
        <v>113</v>
      </c>
      <c r="M123" s="27">
        <f t="shared" si="26"/>
        <v>0</v>
      </c>
      <c r="N123" s="27">
        <f t="shared" si="27"/>
        <v>0</v>
      </c>
      <c r="O123" s="27">
        <f t="shared" si="28"/>
        <v>0</v>
      </c>
      <c r="P123" s="27">
        <f t="shared" si="29"/>
        <v>0</v>
      </c>
      <c r="Q123" s="27">
        <f t="shared" si="29"/>
        <v>0</v>
      </c>
      <c r="R123" s="1"/>
      <c r="S123" s="1"/>
      <c r="T123" s="1"/>
      <c r="U123" s="3">
        <f>L123</f>
        <v>113</v>
      </c>
      <c r="V123" s="24">
        <f>B123*$Y$4^U123</f>
        <v>0</v>
      </c>
      <c r="W123" s="27">
        <f t="shared" si="30"/>
        <v>0</v>
      </c>
      <c r="X123" s="24">
        <f>C123*$Y$4^(U123+1)</f>
        <v>0</v>
      </c>
      <c r="Y123" s="27">
        <f t="shared" si="31"/>
        <v>0</v>
      </c>
      <c r="Z123" s="1"/>
      <c r="AA123" s="1"/>
      <c r="AB123" s="1"/>
      <c r="AC123" s="1"/>
      <c r="AD123" s="1"/>
      <c r="AE123" s="1"/>
      <c r="AF123" s="1"/>
      <c r="AG123" s="1"/>
      <c r="AH123" s="1"/>
      <c r="AI123" s="1"/>
    </row>
    <row r="124" spans="1:35" x14ac:dyDescent="0.45">
      <c r="A124" s="16">
        <f t="shared" si="32"/>
        <v>114</v>
      </c>
      <c r="B124" s="17"/>
      <c r="C124" s="18"/>
      <c r="D124" s="19"/>
      <c r="E124" s="20"/>
      <c r="F124" s="21"/>
      <c r="G124" s="1"/>
      <c r="H124" s="22">
        <f t="shared" si="24"/>
        <v>0</v>
      </c>
      <c r="I124" s="19" t="e">
        <f t="shared" si="34"/>
        <v>#DIV/0!</v>
      </c>
      <c r="J124" s="23" t="e">
        <f t="shared" si="35"/>
        <v>#DIV/0!</v>
      </c>
      <c r="K124" s="1"/>
      <c r="L124" s="3">
        <f t="shared" si="25"/>
        <v>114</v>
      </c>
      <c r="M124" s="27">
        <f t="shared" si="26"/>
        <v>0</v>
      </c>
      <c r="N124" s="27">
        <f t="shared" si="27"/>
        <v>0</v>
      </c>
      <c r="O124" s="27">
        <f t="shared" si="28"/>
        <v>0</v>
      </c>
      <c r="P124" s="27">
        <f t="shared" si="29"/>
        <v>0</v>
      </c>
      <c r="Q124" s="27">
        <f t="shared" si="29"/>
        <v>0</v>
      </c>
      <c r="R124" s="1"/>
      <c r="S124" s="1"/>
      <c r="T124" s="1"/>
      <c r="U124" s="3">
        <f>L124</f>
        <v>114</v>
      </c>
      <c r="V124" s="24">
        <f>B124*$Y$4^U124</f>
        <v>0</v>
      </c>
      <c r="W124" s="27">
        <f t="shared" si="30"/>
        <v>0</v>
      </c>
      <c r="X124" s="24">
        <f>C124*$Y$4^(U124+1)</f>
        <v>0</v>
      </c>
      <c r="Y124" s="27">
        <f t="shared" si="31"/>
        <v>0</v>
      </c>
      <c r="Z124" s="1"/>
      <c r="AA124" s="1"/>
      <c r="AB124" s="1"/>
      <c r="AC124" s="1"/>
      <c r="AD124" s="1"/>
      <c r="AE124" s="1"/>
      <c r="AF124" s="1"/>
      <c r="AG124" s="1"/>
      <c r="AH124" s="1"/>
      <c r="AI124" s="1"/>
    </row>
    <row r="125" spans="1:35" x14ac:dyDescent="0.45">
      <c r="A125" s="16">
        <f t="shared" si="32"/>
        <v>115</v>
      </c>
      <c r="B125" s="17"/>
      <c r="C125" s="18"/>
      <c r="D125" s="19"/>
      <c r="E125" s="20"/>
      <c r="F125" s="21"/>
      <c r="G125" s="1"/>
      <c r="H125" s="22">
        <f t="shared" si="24"/>
        <v>0</v>
      </c>
      <c r="I125" s="19" t="e">
        <f t="shared" si="34"/>
        <v>#DIV/0!</v>
      </c>
      <c r="J125" s="23" t="e">
        <f t="shared" si="35"/>
        <v>#DIV/0!</v>
      </c>
      <c r="K125" s="1"/>
      <c r="L125" s="3">
        <f t="shared" si="25"/>
        <v>115</v>
      </c>
      <c r="M125" s="27">
        <f t="shared" si="26"/>
        <v>0</v>
      </c>
      <c r="N125" s="27">
        <f t="shared" si="27"/>
        <v>0</v>
      </c>
      <c r="O125" s="27">
        <f t="shared" si="28"/>
        <v>0</v>
      </c>
      <c r="P125" s="27">
        <f t="shared" si="29"/>
        <v>0</v>
      </c>
      <c r="Q125" s="27">
        <f t="shared" si="29"/>
        <v>0</v>
      </c>
      <c r="R125" s="1"/>
      <c r="S125" s="1"/>
      <c r="T125" s="1"/>
      <c r="U125" s="3">
        <f>L125</f>
        <v>115</v>
      </c>
      <c r="V125" s="24">
        <f>B125*$Y$4^U125</f>
        <v>0</v>
      </c>
      <c r="W125" s="27">
        <f t="shared" si="30"/>
        <v>0</v>
      </c>
      <c r="X125" s="24">
        <f>C125*$Y$4^(U125+1)</f>
        <v>0</v>
      </c>
      <c r="Y125" s="27">
        <f t="shared" si="31"/>
        <v>0</v>
      </c>
      <c r="Z125" s="1"/>
      <c r="AA125" s="1"/>
      <c r="AB125" s="1"/>
      <c r="AC125" s="1"/>
      <c r="AD125" s="1"/>
      <c r="AE125" s="1"/>
      <c r="AF125" s="1"/>
      <c r="AG125" s="1"/>
      <c r="AH125" s="1"/>
      <c r="AI125" s="1"/>
    </row>
    <row r="126" spans="1:35" x14ac:dyDescent="0.45">
      <c r="A126" s="16">
        <f t="shared" si="32"/>
        <v>116</v>
      </c>
      <c r="B126" s="17"/>
      <c r="C126" s="28"/>
      <c r="D126" s="29"/>
      <c r="E126" s="30"/>
      <c r="F126" s="31"/>
      <c r="G126" s="1"/>
      <c r="H126" s="22">
        <f t="shared" si="24"/>
        <v>0</v>
      </c>
      <c r="I126" s="19" t="e">
        <f t="shared" si="34"/>
        <v>#DIV/0!</v>
      </c>
      <c r="J126" s="23" t="e">
        <f t="shared" si="35"/>
        <v>#DIV/0!</v>
      </c>
      <c r="K126" s="1"/>
      <c r="L126" s="3">
        <f t="shared" si="25"/>
        <v>116</v>
      </c>
      <c r="M126" s="27">
        <f t="shared" si="26"/>
        <v>0</v>
      </c>
      <c r="N126" s="27">
        <f t="shared" si="27"/>
        <v>0</v>
      </c>
      <c r="O126" s="27">
        <f t="shared" si="28"/>
        <v>0</v>
      </c>
      <c r="P126" s="27">
        <f t="shared" si="29"/>
        <v>0</v>
      </c>
      <c r="Q126" s="27">
        <f t="shared" si="29"/>
        <v>0</v>
      </c>
      <c r="R126" s="1"/>
      <c r="S126" s="1"/>
      <c r="T126" s="1"/>
      <c r="U126" s="3">
        <f>L126</f>
        <v>116</v>
      </c>
      <c r="V126" s="24">
        <f>B126*$Y$4^U126</f>
        <v>0</v>
      </c>
      <c r="W126" s="27">
        <f t="shared" si="30"/>
        <v>0</v>
      </c>
      <c r="X126" s="24">
        <f>C126*$Y$4^(U126+1)</f>
        <v>0</v>
      </c>
      <c r="Y126" s="27">
        <f t="shared" si="31"/>
        <v>0</v>
      </c>
      <c r="Z126" s="1"/>
      <c r="AA126" s="1"/>
      <c r="AB126" s="1"/>
      <c r="AC126" s="1"/>
      <c r="AD126" s="1"/>
      <c r="AE126" s="1"/>
      <c r="AF126" s="1"/>
      <c r="AG126" s="1"/>
      <c r="AH126" s="1"/>
      <c r="AI126" s="1"/>
    </row>
    <row r="127" spans="1:35" x14ac:dyDescent="0.45">
      <c r="A127" s="16">
        <f t="shared" si="32"/>
        <v>117</v>
      </c>
      <c r="B127" s="32"/>
      <c r="C127" s="33"/>
      <c r="D127" s="19"/>
      <c r="E127" s="17"/>
      <c r="F127" s="21"/>
      <c r="G127" s="1"/>
      <c r="H127" s="22">
        <f t="shared" si="24"/>
        <v>0</v>
      </c>
      <c r="I127" s="19" t="e">
        <f t="shared" si="34"/>
        <v>#DIV/0!</v>
      </c>
      <c r="J127" s="23" t="e">
        <f t="shared" si="35"/>
        <v>#DIV/0!</v>
      </c>
      <c r="K127" s="1"/>
      <c r="L127" s="3">
        <f t="shared" si="25"/>
        <v>117</v>
      </c>
      <c r="M127" s="27">
        <f t="shared" si="26"/>
        <v>0</v>
      </c>
      <c r="N127" s="27">
        <f t="shared" si="27"/>
        <v>0</v>
      </c>
      <c r="O127" s="27">
        <f t="shared" si="28"/>
        <v>0</v>
      </c>
      <c r="P127" s="27">
        <f t="shared" si="29"/>
        <v>0</v>
      </c>
      <c r="Q127" s="27">
        <f t="shared" si="29"/>
        <v>0</v>
      </c>
      <c r="R127" s="1"/>
      <c r="S127" s="1"/>
      <c r="T127" s="1"/>
      <c r="U127" s="3">
        <f>L127</f>
        <v>117</v>
      </c>
      <c r="V127" s="24">
        <f>B127*$Y$4^U127</f>
        <v>0</v>
      </c>
      <c r="W127" s="27">
        <f t="shared" si="30"/>
        <v>0</v>
      </c>
      <c r="X127" s="24">
        <f>C127*$Y$4^(U127+1)</f>
        <v>0</v>
      </c>
      <c r="Y127" s="27">
        <f t="shared" si="31"/>
        <v>0</v>
      </c>
      <c r="Z127" s="1"/>
      <c r="AA127" s="1"/>
      <c r="AB127" s="1"/>
      <c r="AC127" s="1"/>
      <c r="AD127" s="1"/>
      <c r="AE127" s="1"/>
      <c r="AF127" s="1"/>
      <c r="AG127" s="1"/>
      <c r="AH127" s="1"/>
      <c r="AI127" s="1"/>
    </row>
    <row r="128" spans="1:35" x14ac:dyDescent="0.45">
      <c r="A128" s="16">
        <f t="shared" si="32"/>
        <v>118</v>
      </c>
      <c r="B128" s="17"/>
      <c r="C128" s="22"/>
      <c r="D128" s="23"/>
      <c r="E128" s="34"/>
      <c r="F128" s="1"/>
      <c r="G128" s="1"/>
      <c r="H128" s="22">
        <f t="shared" si="24"/>
        <v>0</v>
      </c>
      <c r="I128" s="19" t="e">
        <f t="shared" si="34"/>
        <v>#DIV/0!</v>
      </c>
      <c r="J128" s="23" t="e">
        <f t="shared" si="35"/>
        <v>#DIV/0!</v>
      </c>
      <c r="K128" s="1"/>
      <c r="L128" s="3">
        <f t="shared" si="25"/>
        <v>118</v>
      </c>
      <c r="M128" s="27">
        <f t="shared" si="26"/>
        <v>0</v>
      </c>
      <c r="N128" s="27">
        <f t="shared" si="27"/>
        <v>0</v>
      </c>
      <c r="O128" s="27">
        <f t="shared" si="28"/>
        <v>0</v>
      </c>
      <c r="P128" s="27">
        <f t="shared" si="29"/>
        <v>0</v>
      </c>
      <c r="Q128" s="27">
        <f t="shared" si="29"/>
        <v>0</v>
      </c>
      <c r="R128" s="1"/>
      <c r="S128" s="1"/>
      <c r="T128" s="1"/>
      <c r="U128" s="3">
        <f>L128</f>
        <v>118</v>
      </c>
      <c r="V128" s="24">
        <f>B128*$Y$4^U128</f>
        <v>0</v>
      </c>
      <c r="W128" s="27">
        <f t="shared" si="30"/>
        <v>0</v>
      </c>
      <c r="X128" s="24">
        <f>C128*$Y$4^(U128+1)</f>
        <v>0</v>
      </c>
      <c r="Y128" s="27">
        <f t="shared" si="31"/>
        <v>0</v>
      </c>
      <c r="Z128" s="1"/>
      <c r="AA128" s="1"/>
      <c r="AB128" s="1"/>
      <c r="AC128" s="1"/>
      <c r="AD128" s="1"/>
      <c r="AE128" s="1"/>
      <c r="AF128" s="1"/>
      <c r="AG128" s="1"/>
      <c r="AH128" s="1"/>
      <c r="AI128" s="1"/>
    </row>
    <row r="129" spans="1:35" x14ac:dyDescent="0.45">
      <c r="A129" s="16">
        <f t="shared" si="32"/>
        <v>119</v>
      </c>
      <c r="B129" s="22"/>
      <c r="C129" s="22"/>
      <c r="D129" s="23"/>
      <c r="E129" s="1"/>
      <c r="F129" s="1"/>
      <c r="G129" s="1"/>
      <c r="H129" s="1"/>
      <c r="I129" s="19" t="e">
        <f t="shared" si="34"/>
        <v>#DIV/0!</v>
      </c>
      <c r="J129" s="23" t="e">
        <f t="shared" si="35"/>
        <v>#DIV/0!</v>
      </c>
      <c r="K129" s="1"/>
      <c r="L129" s="3">
        <f t="shared" si="25"/>
        <v>119</v>
      </c>
      <c r="M129" s="27">
        <f t="shared" si="26"/>
        <v>0</v>
      </c>
      <c r="N129" s="27">
        <f t="shared" si="27"/>
        <v>0</v>
      </c>
      <c r="O129" s="27">
        <f t="shared" si="28"/>
        <v>0</v>
      </c>
      <c r="P129" s="27">
        <f t="shared" si="29"/>
        <v>0</v>
      </c>
      <c r="Q129" s="27">
        <f t="shared" si="29"/>
        <v>0</v>
      </c>
      <c r="R129" s="1"/>
      <c r="S129" s="1"/>
      <c r="T129" s="1"/>
      <c r="U129" s="3">
        <f>L129</f>
        <v>119</v>
      </c>
      <c r="V129" s="24">
        <f>B129*$Y$4^U129</f>
        <v>0</v>
      </c>
      <c r="W129" s="27">
        <f t="shared" si="30"/>
        <v>0</v>
      </c>
      <c r="X129" s="24">
        <f>C129*$Y$4^(U129+1)</f>
        <v>0</v>
      </c>
      <c r="Y129" s="27">
        <f t="shared" si="31"/>
        <v>0</v>
      </c>
      <c r="Z129" s="1"/>
      <c r="AA129" s="1"/>
      <c r="AB129" s="1"/>
      <c r="AC129" s="1"/>
      <c r="AD129" s="1"/>
      <c r="AE129" s="1"/>
      <c r="AF129" s="1"/>
      <c r="AG129" s="1"/>
      <c r="AH129" s="1"/>
      <c r="AI129" s="1"/>
    </row>
    <row r="130" spans="1:35" x14ac:dyDescent="0.45">
      <c r="A130" s="16">
        <f t="shared" si="32"/>
        <v>120</v>
      </c>
      <c r="B130" s="22"/>
      <c r="C130" s="22"/>
      <c r="D130" s="23"/>
      <c r="E130" s="1"/>
      <c r="F130" s="1"/>
      <c r="G130" s="1"/>
      <c r="H130" s="1"/>
      <c r="I130" s="19" t="e">
        <f t="shared" si="34"/>
        <v>#DIV/0!</v>
      </c>
      <c r="J130" s="23" t="e">
        <f t="shared" si="35"/>
        <v>#DIV/0!</v>
      </c>
      <c r="K130" s="1"/>
      <c r="L130" s="3">
        <f t="shared" si="25"/>
        <v>120</v>
      </c>
      <c r="M130" s="27">
        <f t="shared" si="26"/>
        <v>0</v>
      </c>
      <c r="N130" s="27">
        <f t="shared" si="27"/>
        <v>0</v>
      </c>
      <c r="O130" s="27">
        <f t="shared" si="28"/>
        <v>0</v>
      </c>
      <c r="P130" s="27">
        <f t="shared" si="29"/>
        <v>0</v>
      </c>
      <c r="Q130" s="27">
        <f t="shared" si="29"/>
        <v>0</v>
      </c>
      <c r="R130" s="1"/>
      <c r="S130" s="1"/>
      <c r="T130" s="1"/>
      <c r="U130" s="3">
        <f>L130</f>
        <v>120</v>
      </c>
      <c r="V130" s="24">
        <f>B130*$Y$4^U130</f>
        <v>0</v>
      </c>
      <c r="W130" s="27">
        <f t="shared" si="30"/>
        <v>0</v>
      </c>
      <c r="X130" s="24">
        <f>C130*$Y$4^(U130+1)</f>
        <v>0</v>
      </c>
      <c r="Y130" s="27">
        <f t="shared" si="31"/>
        <v>0</v>
      </c>
      <c r="Z130" s="1"/>
      <c r="AA130" s="1"/>
      <c r="AB130" s="1"/>
      <c r="AC130" s="1"/>
      <c r="AD130" s="1"/>
      <c r="AE130" s="1"/>
      <c r="AF130" s="1"/>
      <c r="AG130" s="1"/>
      <c r="AH130" s="1"/>
      <c r="AI130" s="1"/>
    </row>
    <row r="131" spans="1:35" x14ac:dyDescent="0.45">
      <c r="A131" s="1"/>
      <c r="B131" s="1"/>
      <c r="C131" s="1"/>
      <c r="D131" s="23"/>
      <c r="E131" s="1"/>
      <c r="F131" s="1"/>
      <c r="G131" s="1"/>
      <c r="H131" s="1"/>
      <c r="I131" s="19" t="e">
        <f t="shared" si="34"/>
        <v>#DIV/0!</v>
      </c>
      <c r="J131" s="23" t="e">
        <f t="shared" si="35"/>
        <v>#DIV/0!</v>
      </c>
      <c r="K131" s="1"/>
      <c r="L131" s="3">
        <f t="shared" si="25"/>
        <v>0</v>
      </c>
      <c r="M131" s="27">
        <f t="shared" si="26"/>
        <v>0</v>
      </c>
      <c r="N131" s="27">
        <f t="shared" si="27"/>
        <v>0</v>
      </c>
      <c r="O131" s="27">
        <f t="shared" si="28"/>
        <v>0</v>
      </c>
      <c r="P131" s="27">
        <f t="shared" si="29"/>
        <v>0</v>
      </c>
      <c r="Q131" s="27">
        <f t="shared" si="29"/>
        <v>0</v>
      </c>
      <c r="R131" s="1"/>
      <c r="S131" s="1"/>
      <c r="T131" s="1"/>
      <c r="U131" s="3">
        <f>L131</f>
        <v>0</v>
      </c>
      <c r="V131" s="24">
        <f>B131*$Y$4^U131</f>
        <v>0</v>
      </c>
      <c r="W131" s="27">
        <f t="shared" si="30"/>
        <v>0</v>
      </c>
      <c r="X131" s="24">
        <f>C131*$Y$4^(U131+1)</f>
        <v>0</v>
      </c>
      <c r="Y131" s="27">
        <f t="shared" si="31"/>
        <v>0</v>
      </c>
      <c r="Z131" s="1"/>
      <c r="AA131" s="1"/>
      <c r="AB131" s="1"/>
      <c r="AC131" s="1"/>
      <c r="AD131" s="1"/>
      <c r="AE131" s="1"/>
      <c r="AF131" s="1"/>
      <c r="AG131" s="1"/>
      <c r="AH131" s="1"/>
      <c r="AI131" s="1"/>
    </row>
    <row r="132" spans="1:35" x14ac:dyDescent="0.45">
      <c r="A132" s="1"/>
      <c r="B132" s="1"/>
      <c r="C132" s="1"/>
      <c r="D132" s="23"/>
      <c r="E132" s="1"/>
      <c r="F132" s="1"/>
      <c r="G132" s="1"/>
      <c r="H132" s="1"/>
      <c r="I132" s="19" t="e">
        <f t="shared" si="34"/>
        <v>#DIV/0!</v>
      </c>
      <c r="J132" s="23" t="e">
        <f t="shared" si="35"/>
        <v>#DIV/0!</v>
      </c>
      <c r="K132" s="1"/>
      <c r="L132" s="3">
        <f t="shared" si="25"/>
        <v>0</v>
      </c>
      <c r="M132" s="27">
        <f t="shared" si="26"/>
        <v>0</v>
      </c>
      <c r="N132" s="27">
        <f t="shared" si="27"/>
        <v>0</v>
      </c>
      <c r="O132" s="27">
        <f t="shared" si="28"/>
        <v>0</v>
      </c>
      <c r="P132" s="27">
        <f t="shared" si="29"/>
        <v>0</v>
      </c>
      <c r="Q132" s="27">
        <f t="shared" si="29"/>
        <v>0</v>
      </c>
      <c r="R132" s="1"/>
      <c r="S132" s="1"/>
      <c r="T132" s="1"/>
      <c r="U132" s="3">
        <f>L132</f>
        <v>0</v>
      </c>
      <c r="V132" s="24">
        <f>B132*$Y$4^U132</f>
        <v>0</v>
      </c>
      <c r="W132" s="27">
        <f t="shared" si="30"/>
        <v>0</v>
      </c>
      <c r="X132" s="24">
        <f>C132*$Y$4^(U132+1)</f>
        <v>0</v>
      </c>
      <c r="Y132" s="27">
        <f t="shared" si="31"/>
        <v>0</v>
      </c>
      <c r="Z132" s="1"/>
      <c r="AA132" s="1"/>
      <c r="AB132" s="1"/>
      <c r="AC132" s="1"/>
      <c r="AD132" s="1"/>
      <c r="AE132" s="1"/>
      <c r="AF132" s="1"/>
      <c r="AG132" s="1"/>
      <c r="AH132" s="1"/>
      <c r="AI132" s="1"/>
    </row>
    <row r="133" spans="1:35" x14ac:dyDescent="0.45">
      <c r="A133" s="1"/>
      <c r="B133" s="1"/>
      <c r="C133" s="1"/>
      <c r="D133" s="23"/>
      <c r="E133" s="1"/>
      <c r="F133" s="1"/>
      <c r="G133" s="1"/>
      <c r="H133" s="1"/>
      <c r="I133" s="19" t="e">
        <f t="shared" si="34"/>
        <v>#DIV/0!</v>
      </c>
      <c r="J133" s="23" t="e">
        <f t="shared" si="35"/>
        <v>#DIV/0!</v>
      </c>
      <c r="K133" s="1"/>
      <c r="L133" s="3">
        <f t="shared" si="25"/>
        <v>0</v>
      </c>
      <c r="M133" s="27">
        <f t="shared" si="26"/>
        <v>0</v>
      </c>
      <c r="N133" s="27">
        <f t="shared" si="27"/>
        <v>0</v>
      </c>
      <c r="O133" s="27">
        <f t="shared" si="28"/>
        <v>0</v>
      </c>
      <c r="P133" s="27">
        <f t="shared" si="29"/>
        <v>0</v>
      </c>
      <c r="Q133" s="27">
        <f t="shared" si="29"/>
        <v>0</v>
      </c>
      <c r="R133" s="1"/>
      <c r="S133" s="1"/>
      <c r="T133" s="1"/>
      <c r="U133" s="3">
        <f>L133</f>
        <v>0</v>
      </c>
      <c r="V133" s="24">
        <f>B133*$Y$4^U133</f>
        <v>0</v>
      </c>
      <c r="W133" s="27">
        <f t="shared" si="30"/>
        <v>0</v>
      </c>
      <c r="X133" s="24">
        <f>C133*$Y$4^(U133+1)</f>
        <v>0</v>
      </c>
      <c r="Y133" s="27">
        <f t="shared" si="31"/>
        <v>0</v>
      </c>
      <c r="Z133" s="1"/>
      <c r="AA133" s="1"/>
      <c r="AB133" s="1"/>
      <c r="AC133" s="1"/>
      <c r="AD133" s="1"/>
      <c r="AE133" s="1"/>
      <c r="AF133" s="1"/>
      <c r="AG133" s="1"/>
      <c r="AH133" s="1"/>
      <c r="AI133" s="1"/>
    </row>
    <row r="134" spans="1:35" x14ac:dyDescent="0.45">
      <c r="A134" s="1"/>
      <c r="B134" s="1"/>
      <c r="C134" s="1"/>
      <c r="D134" s="23"/>
      <c r="E134" s="1"/>
      <c r="F134" s="1"/>
      <c r="G134" s="1"/>
      <c r="H134" s="1"/>
      <c r="I134" s="19" t="e">
        <f t="shared" si="34"/>
        <v>#DIV/0!</v>
      </c>
      <c r="J134" s="23" t="e">
        <f t="shared" si="35"/>
        <v>#DIV/0!</v>
      </c>
      <c r="K134" s="1"/>
      <c r="L134" s="3">
        <f t="shared" si="25"/>
        <v>0</v>
      </c>
      <c r="M134" s="27">
        <f t="shared" si="26"/>
        <v>0</v>
      </c>
      <c r="N134" s="27">
        <f t="shared" si="27"/>
        <v>0</v>
      </c>
      <c r="O134" s="27">
        <f t="shared" si="28"/>
        <v>0</v>
      </c>
      <c r="P134" s="27">
        <f t="shared" si="29"/>
        <v>0</v>
      </c>
      <c r="Q134" s="27">
        <f t="shared" si="29"/>
        <v>0</v>
      </c>
      <c r="R134" s="1"/>
      <c r="S134" s="1"/>
      <c r="T134" s="1"/>
      <c r="U134" s="3">
        <f>L134</f>
        <v>0</v>
      </c>
      <c r="V134" s="24">
        <f>B134*$Y$4^U134</f>
        <v>0</v>
      </c>
      <c r="W134" s="27">
        <f t="shared" si="30"/>
        <v>0</v>
      </c>
      <c r="X134" s="24">
        <f>C134*$Y$4^(U134+1)</f>
        <v>0</v>
      </c>
      <c r="Y134" s="27">
        <f t="shared" si="31"/>
        <v>0</v>
      </c>
      <c r="Z134" s="1"/>
      <c r="AA134" s="1"/>
      <c r="AB134" s="1"/>
      <c r="AC134" s="1"/>
      <c r="AD134" s="1"/>
      <c r="AE134" s="1"/>
      <c r="AF134" s="1"/>
      <c r="AG134" s="1"/>
      <c r="AH134" s="1"/>
      <c r="AI134" s="1"/>
    </row>
    <row r="135" spans="1:35" x14ac:dyDescent="0.45">
      <c r="A135" s="1"/>
      <c r="B135" s="1"/>
      <c r="C135" s="1"/>
      <c r="D135" s="23"/>
      <c r="E135" s="1"/>
      <c r="F135" s="1"/>
      <c r="G135" s="1"/>
      <c r="H135" s="1"/>
      <c r="I135" s="19" t="e">
        <f t="shared" si="34"/>
        <v>#DIV/0!</v>
      </c>
      <c r="J135" s="23" t="e">
        <f t="shared" si="35"/>
        <v>#DIV/0!</v>
      </c>
      <c r="K135" s="1"/>
      <c r="L135" s="3">
        <f t="shared" si="25"/>
        <v>0</v>
      </c>
      <c r="M135" s="27">
        <f t="shared" si="26"/>
        <v>0</v>
      </c>
      <c r="N135" s="27">
        <f t="shared" si="27"/>
        <v>0</v>
      </c>
      <c r="O135" s="27">
        <f t="shared" si="28"/>
        <v>0</v>
      </c>
      <c r="P135" s="27">
        <f t="shared" si="29"/>
        <v>0</v>
      </c>
      <c r="Q135" s="27">
        <f t="shared" si="29"/>
        <v>0</v>
      </c>
      <c r="R135" s="1"/>
      <c r="S135" s="1"/>
      <c r="T135" s="1"/>
      <c r="U135" s="3">
        <f>L135</f>
        <v>0</v>
      </c>
      <c r="V135" s="24">
        <f>B135*$Y$4^U135</f>
        <v>0</v>
      </c>
      <c r="W135" s="27">
        <f t="shared" si="30"/>
        <v>0</v>
      </c>
      <c r="X135" s="24">
        <f>C135*$Y$4^(U135+1)</f>
        <v>0</v>
      </c>
      <c r="Y135" s="27">
        <f t="shared" si="31"/>
        <v>0</v>
      </c>
      <c r="Z135" s="1"/>
      <c r="AA135" s="1"/>
      <c r="AB135" s="1"/>
      <c r="AC135" s="1"/>
      <c r="AD135" s="1"/>
      <c r="AE135" s="1"/>
      <c r="AF135" s="1"/>
      <c r="AG135" s="1"/>
      <c r="AH135" s="1"/>
      <c r="AI135" s="1"/>
    </row>
    <row r="136" spans="1:35" x14ac:dyDescent="0.45">
      <c r="A136" s="1"/>
      <c r="B136" s="1"/>
      <c r="C136" s="1"/>
      <c r="D136" s="1"/>
      <c r="E136" s="1"/>
      <c r="F136" s="1"/>
      <c r="G136" s="1"/>
      <c r="H136" s="1"/>
      <c r="I136" s="19" t="e">
        <f t="shared" si="34"/>
        <v>#DIV/0!</v>
      </c>
      <c r="J136" s="23" t="e">
        <f t="shared" si="35"/>
        <v>#DIV/0!</v>
      </c>
      <c r="K136" s="1"/>
      <c r="L136" s="3">
        <f t="shared" si="25"/>
        <v>0</v>
      </c>
      <c r="M136" s="27">
        <f t="shared" si="26"/>
        <v>0</v>
      </c>
      <c r="N136" s="27">
        <f t="shared" si="27"/>
        <v>0</v>
      </c>
      <c r="O136" s="27">
        <f t="shared" si="28"/>
        <v>0</v>
      </c>
      <c r="P136" s="27">
        <f t="shared" si="29"/>
        <v>0</v>
      </c>
      <c r="Q136" s="27">
        <f t="shared" si="29"/>
        <v>0</v>
      </c>
      <c r="R136" s="1"/>
      <c r="S136" s="1"/>
      <c r="T136" s="1"/>
      <c r="U136" s="3">
        <f>L136</f>
        <v>0</v>
      </c>
      <c r="V136" s="24">
        <f>B136*$Y$4^U136</f>
        <v>0</v>
      </c>
      <c r="W136" s="27">
        <f t="shared" si="30"/>
        <v>0</v>
      </c>
      <c r="X136" s="24">
        <f>C136*$Y$4^(U136+1)</f>
        <v>0</v>
      </c>
      <c r="Y136" s="27">
        <f t="shared" si="31"/>
        <v>0</v>
      </c>
      <c r="Z136" s="1"/>
      <c r="AA136" s="1"/>
      <c r="AB136" s="1"/>
      <c r="AC136" s="1"/>
      <c r="AD136" s="1"/>
      <c r="AE136" s="1"/>
      <c r="AF136" s="1"/>
      <c r="AG136" s="1"/>
      <c r="AH136" s="1"/>
      <c r="AI136" s="1"/>
    </row>
    <row r="137" spans="1:35" x14ac:dyDescent="0.45">
      <c r="A137" s="1"/>
      <c r="B137" s="1"/>
      <c r="C137" s="1"/>
      <c r="D137" s="1"/>
      <c r="E137" s="1"/>
      <c r="F137" s="1"/>
      <c r="G137" s="1"/>
      <c r="H137" s="1"/>
      <c r="I137" s="19" t="e">
        <f t="shared" si="34"/>
        <v>#DIV/0!</v>
      </c>
      <c r="J137" s="23" t="e">
        <f t="shared" si="35"/>
        <v>#DIV/0!</v>
      </c>
      <c r="K137" s="1"/>
      <c r="L137" s="3">
        <f t="shared" si="25"/>
        <v>0</v>
      </c>
      <c r="M137" s="27">
        <f t="shared" si="26"/>
        <v>0</v>
      </c>
      <c r="N137" s="27">
        <f t="shared" si="27"/>
        <v>0</v>
      </c>
      <c r="O137" s="27">
        <f t="shared" si="28"/>
        <v>0</v>
      </c>
      <c r="P137" s="27">
        <f t="shared" si="29"/>
        <v>0</v>
      </c>
      <c r="Q137" s="27">
        <f t="shared" si="29"/>
        <v>0</v>
      </c>
      <c r="R137" s="1"/>
      <c r="S137" s="1"/>
      <c r="T137" s="1"/>
      <c r="U137" s="3">
        <f>L137</f>
        <v>0</v>
      </c>
      <c r="V137" s="24">
        <f>B137*$Y$4^U137</f>
        <v>0</v>
      </c>
      <c r="W137" s="27">
        <f t="shared" si="30"/>
        <v>0</v>
      </c>
      <c r="X137" s="24">
        <f>C137*$Y$4^(U137+1)</f>
        <v>0</v>
      </c>
      <c r="Y137" s="27">
        <f t="shared" si="31"/>
        <v>0</v>
      </c>
      <c r="Z137" s="1"/>
      <c r="AA137" s="1"/>
      <c r="AB137" s="1"/>
      <c r="AC137" s="1"/>
      <c r="AD137" s="1"/>
      <c r="AE137" s="1"/>
      <c r="AF137" s="1"/>
      <c r="AG137" s="1"/>
      <c r="AH137" s="1"/>
      <c r="AI137" s="1"/>
    </row>
    <row r="138" spans="1:35" x14ac:dyDescent="0.45">
      <c r="A138" s="1"/>
      <c r="B138" s="1"/>
      <c r="C138" s="1"/>
      <c r="D138" s="1"/>
      <c r="E138" s="1"/>
      <c r="F138" s="1"/>
      <c r="G138" s="1"/>
      <c r="H138" s="1"/>
      <c r="I138" s="19" t="e">
        <f t="shared" si="34"/>
        <v>#DIV/0!</v>
      </c>
      <c r="J138" s="23" t="e">
        <f t="shared" si="35"/>
        <v>#DIV/0!</v>
      </c>
      <c r="K138" s="1"/>
      <c r="L138" s="3">
        <f t="shared" ref="L138:L150" si="42">A138</f>
        <v>0</v>
      </c>
      <c r="M138" s="27">
        <f t="shared" ref="M138:M150" si="43">B138*$P$4^L138</f>
        <v>0</v>
      </c>
      <c r="N138" s="27">
        <f t="shared" ref="N138:N150" si="44">N139+M138</f>
        <v>0</v>
      </c>
      <c r="O138" s="27">
        <f t="shared" ref="O138:O150" si="45">C138*$P$4^(L138+1)</f>
        <v>0</v>
      </c>
      <c r="P138" s="27">
        <f t="shared" ref="P138:Q150" si="46">P139+O138</f>
        <v>0</v>
      </c>
      <c r="Q138" s="27">
        <f t="shared" ref="Q138:Q149" si="47">Q139+P138</f>
        <v>0</v>
      </c>
      <c r="R138" s="1"/>
      <c r="S138" s="1"/>
      <c r="T138" s="1"/>
      <c r="U138" s="3">
        <f>L138</f>
        <v>0</v>
      </c>
      <c r="V138" s="24">
        <f>B138*$Y$4^U138</f>
        <v>0</v>
      </c>
      <c r="W138" s="27">
        <f t="shared" ref="W138:W150" si="48">W139+V138</f>
        <v>0</v>
      </c>
      <c r="X138" s="24">
        <f>C138*$Y$4^(U138+1)</f>
        <v>0</v>
      </c>
      <c r="Y138" s="27">
        <f t="shared" ref="Y138:Y150" si="49">Y139+X138</f>
        <v>0</v>
      </c>
      <c r="Z138" s="1"/>
      <c r="AA138" s="1"/>
      <c r="AB138" s="1"/>
      <c r="AC138" s="1"/>
      <c r="AD138" s="1"/>
      <c r="AE138" s="1"/>
      <c r="AF138" s="1"/>
      <c r="AG138" s="1"/>
      <c r="AH138" s="1"/>
      <c r="AI138" s="1"/>
    </row>
    <row r="139" spans="1:35" x14ac:dyDescent="0.45">
      <c r="A139" s="1"/>
      <c r="B139" s="1"/>
      <c r="C139" s="1"/>
      <c r="D139" s="1"/>
      <c r="E139" s="1"/>
      <c r="F139" s="1"/>
      <c r="G139" s="1"/>
      <c r="H139" s="1"/>
      <c r="I139" s="19" t="e">
        <f t="shared" ref="I139:I150" si="50">+H140/B139</f>
        <v>#DIV/0!</v>
      </c>
      <c r="J139" s="23" t="e">
        <f t="shared" ref="J139:J150" si="51">I139+0.5</f>
        <v>#DIV/0!</v>
      </c>
      <c r="K139" s="1"/>
      <c r="L139" s="3">
        <f t="shared" si="42"/>
        <v>0</v>
      </c>
      <c r="M139" s="27">
        <f t="shared" si="43"/>
        <v>0</v>
      </c>
      <c r="N139" s="27">
        <f t="shared" si="44"/>
        <v>0</v>
      </c>
      <c r="O139" s="27">
        <f t="shared" si="45"/>
        <v>0</v>
      </c>
      <c r="P139" s="27">
        <f t="shared" si="46"/>
        <v>0</v>
      </c>
      <c r="Q139" s="27">
        <f t="shared" si="47"/>
        <v>0</v>
      </c>
      <c r="R139" s="1"/>
      <c r="S139" s="1"/>
      <c r="T139" s="1"/>
      <c r="U139" s="3">
        <f>L139</f>
        <v>0</v>
      </c>
      <c r="V139" s="24">
        <f>B139*$Y$4^U139</f>
        <v>0</v>
      </c>
      <c r="W139" s="27">
        <f t="shared" si="48"/>
        <v>0</v>
      </c>
      <c r="X139" s="24">
        <f>C139*$Y$4^(U139+1)</f>
        <v>0</v>
      </c>
      <c r="Y139" s="27">
        <f t="shared" si="49"/>
        <v>0</v>
      </c>
      <c r="Z139" s="1"/>
      <c r="AA139" s="1"/>
      <c r="AB139" s="1"/>
      <c r="AC139" s="1"/>
      <c r="AD139" s="1"/>
      <c r="AE139" s="1"/>
      <c r="AF139" s="1"/>
      <c r="AG139" s="1"/>
      <c r="AH139" s="1"/>
      <c r="AI139" s="1"/>
    </row>
    <row r="140" spans="1:35" x14ac:dyDescent="0.45">
      <c r="A140" s="1"/>
      <c r="B140" s="1"/>
      <c r="C140" s="1"/>
      <c r="D140" s="1"/>
      <c r="E140" s="1"/>
      <c r="F140" s="1"/>
      <c r="G140" s="1"/>
      <c r="H140" s="1"/>
      <c r="I140" s="19" t="e">
        <f t="shared" si="50"/>
        <v>#DIV/0!</v>
      </c>
      <c r="J140" s="23" t="e">
        <f t="shared" si="51"/>
        <v>#DIV/0!</v>
      </c>
      <c r="K140" s="1"/>
      <c r="L140" s="3">
        <f t="shared" si="42"/>
        <v>0</v>
      </c>
      <c r="M140" s="27">
        <f t="shared" si="43"/>
        <v>0</v>
      </c>
      <c r="N140" s="27">
        <f t="shared" si="44"/>
        <v>0</v>
      </c>
      <c r="O140" s="27">
        <f t="shared" si="45"/>
        <v>0</v>
      </c>
      <c r="P140" s="27">
        <f t="shared" si="46"/>
        <v>0</v>
      </c>
      <c r="Q140" s="27">
        <f t="shared" si="47"/>
        <v>0</v>
      </c>
      <c r="R140" s="1"/>
      <c r="S140" s="1"/>
      <c r="T140" s="1"/>
      <c r="U140" s="3">
        <f>L140</f>
        <v>0</v>
      </c>
      <c r="V140" s="24">
        <f>B140*$Y$4^U140</f>
        <v>0</v>
      </c>
      <c r="W140" s="27">
        <f t="shared" si="48"/>
        <v>0</v>
      </c>
      <c r="X140" s="24">
        <f>C140*$Y$4^(U140+1)</f>
        <v>0</v>
      </c>
      <c r="Y140" s="27">
        <f t="shared" si="49"/>
        <v>0</v>
      </c>
      <c r="Z140" s="1"/>
      <c r="AA140" s="1"/>
      <c r="AB140" s="1"/>
      <c r="AC140" s="1"/>
      <c r="AD140" s="1"/>
      <c r="AE140" s="1"/>
      <c r="AF140" s="1"/>
      <c r="AG140" s="1"/>
      <c r="AH140" s="1"/>
      <c r="AI140" s="1"/>
    </row>
    <row r="141" spans="1:35" x14ac:dyDescent="0.45">
      <c r="A141" s="1"/>
      <c r="B141" s="1"/>
      <c r="C141" s="1"/>
      <c r="D141" s="1"/>
      <c r="E141" s="1"/>
      <c r="F141" s="1"/>
      <c r="G141" s="1"/>
      <c r="H141" s="1"/>
      <c r="I141" s="19" t="e">
        <f t="shared" si="50"/>
        <v>#DIV/0!</v>
      </c>
      <c r="J141" s="23" t="e">
        <f t="shared" si="51"/>
        <v>#DIV/0!</v>
      </c>
      <c r="K141" s="1"/>
      <c r="L141" s="3">
        <f t="shared" si="42"/>
        <v>0</v>
      </c>
      <c r="M141" s="27">
        <f t="shared" si="43"/>
        <v>0</v>
      </c>
      <c r="N141" s="27">
        <f t="shared" si="44"/>
        <v>0</v>
      </c>
      <c r="O141" s="27">
        <f t="shared" si="45"/>
        <v>0</v>
      </c>
      <c r="P141" s="27">
        <f t="shared" si="46"/>
        <v>0</v>
      </c>
      <c r="Q141" s="27">
        <f t="shared" si="47"/>
        <v>0</v>
      </c>
      <c r="R141" s="1"/>
      <c r="S141" s="1"/>
      <c r="T141" s="1"/>
      <c r="U141" s="3">
        <f>L141</f>
        <v>0</v>
      </c>
      <c r="V141" s="24">
        <f>B141*$Y$4^U141</f>
        <v>0</v>
      </c>
      <c r="W141" s="27">
        <f t="shared" si="48"/>
        <v>0</v>
      </c>
      <c r="X141" s="24">
        <f>C141*$Y$4^(U141+1)</f>
        <v>0</v>
      </c>
      <c r="Y141" s="27">
        <f t="shared" si="49"/>
        <v>0</v>
      </c>
      <c r="Z141" s="1"/>
      <c r="AA141" s="1"/>
      <c r="AB141" s="1"/>
      <c r="AC141" s="1"/>
      <c r="AD141" s="1"/>
      <c r="AE141" s="1"/>
      <c r="AF141" s="1"/>
      <c r="AG141" s="1"/>
      <c r="AH141" s="1"/>
      <c r="AI141" s="1"/>
    </row>
    <row r="142" spans="1:35" x14ac:dyDescent="0.45">
      <c r="A142" s="1"/>
      <c r="B142" s="1"/>
      <c r="C142" s="1"/>
      <c r="D142" s="1"/>
      <c r="E142" s="1"/>
      <c r="F142" s="1"/>
      <c r="G142" s="1"/>
      <c r="H142" s="1"/>
      <c r="I142" s="19" t="e">
        <f t="shared" si="50"/>
        <v>#DIV/0!</v>
      </c>
      <c r="J142" s="23" t="e">
        <f t="shared" si="51"/>
        <v>#DIV/0!</v>
      </c>
      <c r="K142" s="1"/>
      <c r="L142" s="3">
        <f t="shared" si="42"/>
        <v>0</v>
      </c>
      <c r="M142" s="27">
        <f t="shared" si="43"/>
        <v>0</v>
      </c>
      <c r="N142" s="27">
        <f t="shared" si="44"/>
        <v>0</v>
      </c>
      <c r="O142" s="27">
        <f t="shared" si="45"/>
        <v>0</v>
      </c>
      <c r="P142" s="27">
        <f t="shared" si="46"/>
        <v>0</v>
      </c>
      <c r="Q142" s="27">
        <f t="shared" si="47"/>
        <v>0</v>
      </c>
      <c r="R142" s="1"/>
      <c r="S142" s="1"/>
      <c r="T142" s="1"/>
      <c r="U142" s="3">
        <f>L142</f>
        <v>0</v>
      </c>
      <c r="V142" s="24">
        <f>B142*$Y$4^U142</f>
        <v>0</v>
      </c>
      <c r="W142" s="27">
        <f t="shared" si="48"/>
        <v>0</v>
      </c>
      <c r="X142" s="24">
        <f>C142*$Y$4^(U142+1)</f>
        <v>0</v>
      </c>
      <c r="Y142" s="27">
        <f t="shared" si="49"/>
        <v>0</v>
      </c>
      <c r="Z142" s="1"/>
      <c r="AA142" s="1"/>
      <c r="AB142" s="1"/>
      <c r="AC142" s="1"/>
      <c r="AD142" s="1"/>
      <c r="AE142" s="1"/>
      <c r="AF142" s="1"/>
      <c r="AG142" s="1"/>
      <c r="AH142" s="1"/>
      <c r="AI142" s="1"/>
    </row>
    <row r="143" spans="1:35" x14ac:dyDescent="0.45">
      <c r="A143" s="1"/>
      <c r="B143" s="1"/>
      <c r="C143" s="1"/>
      <c r="D143" s="1"/>
      <c r="E143" s="1"/>
      <c r="F143" s="1"/>
      <c r="G143" s="1"/>
      <c r="H143" s="1"/>
      <c r="I143" s="19" t="e">
        <f t="shared" si="50"/>
        <v>#DIV/0!</v>
      </c>
      <c r="J143" s="23" t="e">
        <f t="shared" si="51"/>
        <v>#DIV/0!</v>
      </c>
      <c r="K143" s="1"/>
      <c r="L143" s="3">
        <f t="shared" si="42"/>
        <v>0</v>
      </c>
      <c r="M143" s="27">
        <f t="shared" si="43"/>
        <v>0</v>
      </c>
      <c r="N143" s="27">
        <f t="shared" si="44"/>
        <v>0</v>
      </c>
      <c r="O143" s="27">
        <f t="shared" si="45"/>
        <v>0</v>
      </c>
      <c r="P143" s="27">
        <f t="shared" si="46"/>
        <v>0</v>
      </c>
      <c r="Q143" s="27">
        <f t="shared" si="47"/>
        <v>0</v>
      </c>
      <c r="R143" s="1"/>
      <c r="S143" s="1"/>
      <c r="T143" s="1"/>
      <c r="U143" s="3">
        <f>L143</f>
        <v>0</v>
      </c>
      <c r="V143" s="24">
        <f>B143*$Y$4^U143</f>
        <v>0</v>
      </c>
      <c r="W143" s="27">
        <f t="shared" si="48"/>
        <v>0</v>
      </c>
      <c r="X143" s="24">
        <f>C143*$Y$4^(U143+1)</f>
        <v>0</v>
      </c>
      <c r="Y143" s="27">
        <f t="shared" si="49"/>
        <v>0</v>
      </c>
      <c r="Z143" s="1"/>
      <c r="AA143" s="1"/>
      <c r="AB143" s="1"/>
      <c r="AC143" s="1"/>
      <c r="AD143" s="1"/>
      <c r="AE143" s="1"/>
      <c r="AF143" s="1"/>
      <c r="AG143" s="1"/>
      <c r="AH143" s="1"/>
      <c r="AI143" s="1"/>
    </row>
    <row r="144" spans="1:35" x14ac:dyDescent="0.45">
      <c r="A144" s="1"/>
      <c r="B144" s="1"/>
      <c r="C144" s="1"/>
      <c r="D144" s="1"/>
      <c r="E144" s="1"/>
      <c r="F144" s="1"/>
      <c r="G144" s="1"/>
      <c r="H144" s="1"/>
      <c r="I144" s="19" t="e">
        <f t="shared" si="50"/>
        <v>#DIV/0!</v>
      </c>
      <c r="J144" s="23" t="e">
        <f t="shared" si="51"/>
        <v>#DIV/0!</v>
      </c>
      <c r="K144" s="1"/>
      <c r="L144" s="3">
        <f t="shared" si="42"/>
        <v>0</v>
      </c>
      <c r="M144" s="27">
        <f t="shared" si="43"/>
        <v>0</v>
      </c>
      <c r="N144" s="27">
        <f t="shared" si="44"/>
        <v>0</v>
      </c>
      <c r="O144" s="27">
        <f t="shared" si="45"/>
        <v>0</v>
      </c>
      <c r="P144" s="27">
        <f t="shared" si="46"/>
        <v>0</v>
      </c>
      <c r="Q144" s="27">
        <f t="shared" si="47"/>
        <v>0</v>
      </c>
      <c r="R144" s="1"/>
      <c r="S144" s="1"/>
      <c r="T144" s="1"/>
      <c r="U144" s="3">
        <f>L144</f>
        <v>0</v>
      </c>
      <c r="V144" s="24">
        <f>B144*$Y$4^U144</f>
        <v>0</v>
      </c>
      <c r="W144" s="27">
        <f t="shared" si="48"/>
        <v>0</v>
      </c>
      <c r="X144" s="24">
        <f>C144*$Y$4^(U144+1)</f>
        <v>0</v>
      </c>
      <c r="Y144" s="27">
        <f t="shared" si="49"/>
        <v>0</v>
      </c>
      <c r="Z144" s="1"/>
      <c r="AA144" s="1"/>
      <c r="AB144" s="1"/>
      <c r="AC144" s="1"/>
      <c r="AD144" s="1"/>
      <c r="AE144" s="1"/>
      <c r="AF144" s="1"/>
      <c r="AG144" s="1"/>
      <c r="AH144" s="1"/>
      <c r="AI144" s="1"/>
    </row>
    <row r="145" spans="1:35" x14ac:dyDescent="0.45">
      <c r="A145" s="1"/>
      <c r="B145" s="1"/>
      <c r="C145" s="1"/>
      <c r="D145" s="1"/>
      <c r="E145" s="1"/>
      <c r="F145" s="1"/>
      <c r="G145" s="1"/>
      <c r="H145" s="1"/>
      <c r="I145" s="19" t="e">
        <f t="shared" si="50"/>
        <v>#DIV/0!</v>
      </c>
      <c r="J145" s="23" t="e">
        <f t="shared" si="51"/>
        <v>#DIV/0!</v>
      </c>
      <c r="K145" s="1"/>
      <c r="L145" s="3">
        <f t="shared" si="42"/>
        <v>0</v>
      </c>
      <c r="M145" s="27">
        <f t="shared" si="43"/>
        <v>0</v>
      </c>
      <c r="N145" s="27">
        <f t="shared" si="44"/>
        <v>0</v>
      </c>
      <c r="O145" s="27">
        <f t="shared" si="45"/>
        <v>0</v>
      </c>
      <c r="P145" s="27">
        <f t="shared" si="46"/>
        <v>0</v>
      </c>
      <c r="Q145" s="27">
        <f t="shared" si="47"/>
        <v>0</v>
      </c>
      <c r="R145" s="1"/>
      <c r="S145" s="1"/>
      <c r="T145" s="1"/>
      <c r="U145" s="3">
        <f>L145</f>
        <v>0</v>
      </c>
      <c r="V145" s="24">
        <f>B145*$Y$4^U145</f>
        <v>0</v>
      </c>
      <c r="W145" s="27">
        <f t="shared" si="48"/>
        <v>0</v>
      </c>
      <c r="X145" s="24">
        <f>C145*$Y$4^(U145+1)</f>
        <v>0</v>
      </c>
      <c r="Y145" s="27">
        <f t="shared" si="49"/>
        <v>0</v>
      </c>
      <c r="Z145" s="1"/>
      <c r="AA145" s="1"/>
      <c r="AB145" s="1"/>
      <c r="AC145" s="1"/>
      <c r="AD145" s="1"/>
      <c r="AE145" s="1"/>
      <c r="AF145" s="1"/>
      <c r="AG145" s="1"/>
      <c r="AH145" s="1"/>
      <c r="AI145" s="1"/>
    </row>
    <row r="146" spans="1:35" x14ac:dyDescent="0.45">
      <c r="A146" s="1"/>
      <c r="B146" s="1"/>
      <c r="C146" s="1"/>
      <c r="D146" s="1"/>
      <c r="E146" s="1"/>
      <c r="F146" s="1"/>
      <c r="G146" s="1"/>
      <c r="H146" s="1"/>
      <c r="I146" s="19" t="e">
        <f t="shared" si="50"/>
        <v>#DIV/0!</v>
      </c>
      <c r="J146" s="23" t="e">
        <f t="shared" si="51"/>
        <v>#DIV/0!</v>
      </c>
      <c r="K146" s="1"/>
      <c r="L146" s="3">
        <f t="shared" si="42"/>
        <v>0</v>
      </c>
      <c r="M146" s="27">
        <f t="shared" si="43"/>
        <v>0</v>
      </c>
      <c r="N146" s="27">
        <f t="shared" si="44"/>
        <v>0</v>
      </c>
      <c r="O146" s="27">
        <f t="shared" si="45"/>
        <v>0</v>
      </c>
      <c r="P146" s="27">
        <f t="shared" si="46"/>
        <v>0</v>
      </c>
      <c r="Q146" s="27">
        <f t="shared" si="47"/>
        <v>0</v>
      </c>
      <c r="R146" s="1"/>
      <c r="S146" s="1"/>
      <c r="T146" s="1"/>
      <c r="U146" s="3">
        <f>L146</f>
        <v>0</v>
      </c>
      <c r="V146" s="24">
        <f>B146*$Y$4^U146</f>
        <v>0</v>
      </c>
      <c r="W146" s="27">
        <f t="shared" si="48"/>
        <v>0</v>
      </c>
      <c r="X146" s="24">
        <f>C146*$Y$4^(U146+1)</f>
        <v>0</v>
      </c>
      <c r="Y146" s="27">
        <f t="shared" si="49"/>
        <v>0</v>
      </c>
      <c r="Z146" s="1"/>
      <c r="AA146" s="1"/>
      <c r="AB146" s="1"/>
      <c r="AC146" s="1"/>
      <c r="AD146" s="1"/>
      <c r="AE146" s="1"/>
      <c r="AF146" s="1"/>
      <c r="AG146" s="1"/>
      <c r="AH146" s="1"/>
      <c r="AI146" s="1"/>
    </row>
    <row r="147" spans="1:35" x14ac:dyDescent="0.45">
      <c r="A147" s="1"/>
      <c r="B147" s="1"/>
      <c r="C147" s="1"/>
      <c r="D147" s="1"/>
      <c r="E147" s="1"/>
      <c r="F147" s="1"/>
      <c r="G147" s="1"/>
      <c r="H147" s="1"/>
      <c r="I147" s="19" t="e">
        <f t="shared" si="50"/>
        <v>#DIV/0!</v>
      </c>
      <c r="J147" s="23" t="e">
        <f t="shared" si="51"/>
        <v>#DIV/0!</v>
      </c>
      <c r="K147" s="1"/>
      <c r="L147" s="3">
        <f t="shared" si="42"/>
        <v>0</v>
      </c>
      <c r="M147" s="27">
        <f t="shared" si="43"/>
        <v>0</v>
      </c>
      <c r="N147" s="27">
        <f t="shared" si="44"/>
        <v>0</v>
      </c>
      <c r="O147" s="27">
        <f t="shared" si="45"/>
        <v>0</v>
      </c>
      <c r="P147" s="27">
        <f t="shared" si="46"/>
        <v>0</v>
      </c>
      <c r="Q147" s="27">
        <f t="shared" si="47"/>
        <v>0</v>
      </c>
      <c r="R147" s="1"/>
      <c r="S147" s="1"/>
      <c r="T147" s="1"/>
      <c r="U147" s="3">
        <f>L147</f>
        <v>0</v>
      </c>
      <c r="V147" s="24">
        <f>B147*$Y$4^U147</f>
        <v>0</v>
      </c>
      <c r="W147" s="27">
        <f t="shared" si="48"/>
        <v>0</v>
      </c>
      <c r="X147" s="24">
        <f>C147*$Y$4^(U147+1)</f>
        <v>0</v>
      </c>
      <c r="Y147" s="27">
        <f t="shared" si="49"/>
        <v>0</v>
      </c>
      <c r="Z147" s="1"/>
      <c r="AA147" s="1"/>
      <c r="AB147" s="1"/>
      <c r="AC147" s="1"/>
      <c r="AD147" s="1"/>
      <c r="AE147" s="1"/>
      <c r="AF147" s="1"/>
      <c r="AG147" s="1"/>
      <c r="AH147" s="1"/>
      <c r="AI147" s="1"/>
    </row>
    <row r="148" spans="1:35" x14ac:dyDescent="0.45">
      <c r="A148" s="1"/>
      <c r="B148" s="1"/>
      <c r="C148" s="1"/>
      <c r="D148" s="1"/>
      <c r="E148" s="1"/>
      <c r="F148" s="1"/>
      <c r="G148" s="1"/>
      <c r="H148" s="1"/>
      <c r="I148" s="19" t="e">
        <f t="shared" si="50"/>
        <v>#DIV/0!</v>
      </c>
      <c r="J148" s="23" t="e">
        <f t="shared" si="51"/>
        <v>#DIV/0!</v>
      </c>
      <c r="K148" s="1"/>
      <c r="L148" s="3">
        <f t="shared" si="42"/>
        <v>0</v>
      </c>
      <c r="M148" s="27">
        <f t="shared" si="43"/>
        <v>0</v>
      </c>
      <c r="N148" s="27">
        <f t="shared" si="44"/>
        <v>0</v>
      </c>
      <c r="O148" s="27">
        <f t="shared" si="45"/>
        <v>0</v>
      </c>
      <c r="P148" s="27">
        <f t="shared" si="46"/>
        <v>0</v>
      </c>
      <c r="Q148" s="27">
        <f t="shared" si="47"/>
        <v>0</v>
      </c>
      <c r="R148" s="1"/>
      <c r="S148" s="1"/>
      <c r="T148" s="1"/>
      <c r="U148" s="3">
        <f>L148</f>
        <v>0</v>
      </c>
      <c r="V148" s="24">
        <f>B148*$Y$4^U148</f>
        <v>0</v>
      </c>
      <c r="W148" s="27">
        <f t="shared" si="48"/>
        <v>0</v>
      </c>
      <c r="X148" s="24">
        <f>C148*$Y$4^(U148+1)</f>
        <v>0</v>
      </c>
      <c r="Y148" s="27">
        <f t="shared" si="49"/>
        <v>0</v>
      </c>
      <c r="Z148" s="1"/>
      <c r="AA148" s="1"/>
      <c r="AB148" s="1"/>
      <c r="AC148" s="1"/>
      <c r="AD148" s="1"/>
      <c r="AE148" s="1"/>
      <c r="AF148" s="1"/>
      <c r="AG148" s="1"/>
      <c r="AH148" s="1"/>
      <c r="AI148" s="1"/>
    </row>
    <row r="149" spans="1:35" x14ac:dyDescent="0.45">
      <c r="A149" s="1"/>
      <c r="B149" s="1"/>
      <c r="C149" s="1"/>
      <c r="D149" s="1"/>
      <c r="E149" s="1"/>
      <c r="F149" s="1"/>
      <c r="G149" s="1"/>
      <c r="H149" s="1"/>
      <c r="I149" s="19" t="e">
        <f t="shared" si="50"/>
        <v>#DIV/0!</v>
      </c>
      <c r="J149" s="23" t="e">
        <f t="shared" si="51"/>
        <v>#DIV/0!</v>
      </c>
      <c r="K149" s="1"/>
      <c r="L149" s="3">
        <f t="shared" si="42"/>
        <v>0</v>
      </c>
      <c r="M149" s="27">
        <f t="shared" si="43"/>
        <v>0</v>
      </c>
      <c r="N149" s="27">
        <f t="shared" si="44"/>
        <v>0</v>
      </c>
      <c r="O149" s="27">
        <f t="shared" si="45"/>
        <v>0</v>
      </c>
      <c r="P149" s="27">
        <f t="shared" si="46"/>
        <v>0</v>
      </c>
      <c r="Q149" s="27">
        <f t="shared" si="47"/>
        <v>0</v>
      </c>
      <c r="R149" s="1"/>
      <c r="S149" s="1"/>
      <c r="T149" s="1"/>
      <c r="U149" s="3">
        <f>L149</f>
        <v>0</v>
      </c>
      <c r="V149" s="24">
        <f>B149*$Y$4^U149</f>
        <v>0</v>
      </c>
      <c r="W149" s="27">
        <f t="shared" si="48"/>
        <v>0</v>
      </c>
      <c r="X149" s="24">
        <f>C149*$Y$4^(U149+1)</f>
        <v>0</v>
      </c>
      <c r="Y149" s="27">
        <f t="shared" si="49"/>
        <v>0</v>
      </c>
      <c r="Z149" s="1"/>
      <c r="AA149" s="1"/>
      <c r="AB149" s="1"/>
      <c r="AC149" s="1"/>
      <c r="AD149" s="1"/>
      <c r="AE149" s="1"/>
      <c r="AF149" s="1"/>
      <c r="AG149" s="1"/>
      <c r="AH149" s="1"/>
      <c r="AI149" s="1"/>
    </row>
    <row r="150" spans="1:35" x14ac:dyDescent="0.45">
      <c r="A150" s="1"/>
      <c r="B150" s="1"/>
      <c r="C150" s="1"/>
      <c r="D150" s="1"/>
      <c r="E150" s="1"/>
      <c r="F150" s="1"/>
      <c r="G150" s="1"/>
      <c r="H150" s="1"/>
      <c r="I150" s="19" t="e">
        <f t="shared" si="50"/>
        <v>#DIV/0!</v>
      </c>
      <c r="J150" s="23" t="e">
        <f t="shared" si="51"/>
        <v>#DIV/0!</v>
      </c>
      <c r="K150" s="1"/>
      <c r="L150" s="3">
        <f t="shared" si="42"/>
        <v>0</v>
      </c>
      <c r="M150" s="27">
        <f t="shared" si="43"/>
        <v>0</v>
      </c>
      <c r="N150" s="27">
        <f t="shared" si="44"/>
        <v>0</v>
      </c>
      <c r="O150" s="27">
        <f t="shared" si="45"/>
        <v>0</v>
      </c>
      <c r="P150" s="27">
        <f t="shared" si="46"/>
        <v>0</v>
      </c>
      <c r="Q150" s="27">
        <f t="shared" si="46"/>
        <v>0</v>
      </c>
      <c r="R150" s="1"/>
      <c r="S150" s="1"/>
      <c r="T150" s="1"/>
      <c r="U150" s="3">
        <f>L150</f>
        <v>0</v>
      </c>
      <c r="V150" s="24">
        <f>B150*$Y$4^U150</f>
        <v>0</v>
      </c>
      <c r="W150" s="27">
        <f t="shared" si="48"/>
        <v>0</v>
      </c>
      <c r="X150" s="24">
        <f>C150*$Y$4^(U150+1)</f>
        <v>0</v>
      </c>
      <c r="Y150" s="27">
        <f t="shared" si="49"/>
        <v>0</v>
      </c>
      <c r="Z150" s="1"/>
      <c r="AA150" s="1"/>
      <c r="AB150" s="1"/>
      <c r="AC150" s="1"/>
      <c r="AD150" s="1"/>
      <c r="AE150" s="1"/>
      <c r="AF150" s="1"/>
      <c r="AG150" s="1"/>
      <c r="AH150" s="1"/>
      <c r="AI150" s="1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TV7377Var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PedroCR</dc:creator>
  <cp:lastModifiedBy>PedroCR</cp:lastModifiedBy>
  <dcterms:created xsi:type="dcterms:W3CDTF">2020-02-08T11:58:27Z</dcterms:created>
  <dcterms:modified xsi:type="dcterms:W3CDTF">2020-03-04T16:32:34Z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50eec1a4-7e43-43dc-ba85-e061361280a9</vt:lpwstr>
  </property>
</Properties>
</file>